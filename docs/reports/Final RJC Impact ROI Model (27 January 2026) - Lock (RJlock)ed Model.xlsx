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tuprd-my.sharepoint.com/personal/tl201_temple_edu/Documents/Documents/Research/Impact-LongHaul/RJ Krasner/"/>
    </mc:Choice>
  </mc:AlternateContent>
  <xr:revisionPtr revIDLastSave="0" documentId="8_{03E55F19-7991-44F4-BBA4-A976728E5610}" xr6:coauthVersionLast="47" xr6:coauthVersionMax="47" xr10:uidLastSave="{00000000-0000-0000-0000-000000000000}"/>
  <bookViews>
    <workbookView xWindow="-28920" yWindow="-1890" windowWidth="29040" windowHeight="15720" firstSheet="5" activeTab="5" xr2:uid="{00000000-000D-0000-FFFF-FFFF00000000}"/>
  </bookViews>
  <sheets>
    <sheet name="Introduction and Instructions" sheetId="1" r:id="rId1"/>
    <sheet name="CJS Program Costs" sheetId="2" r:id="rId2"/>
    <sheet name="RJC Program Costs" sheetId="3" r:id="rId3"/>
    <sheet name="HP, RP, Community Inputs" sheetId="4" r:id="rId4"/>
    <sheet name="Cost and Benefit Calculations" sheetId="5" r:id="rId5"/>
    <sheet name="Impact ROI"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OtP4TIY92do5aqsYIsTfdp2nWjRecTzs3K+5eB3ca0c="/>
    </ext>
  </extLst>
</workbook>
</file>

<file path=xl/calcChain.xml><?xml version="1.0" encoding="utf-8"?>
<calcChain xmlns="http://schemas.openxmlformats.org/spreadsheetml/2006/main">
  <c r="B43" i="3" l="1"/>
  <c r="B37" i="4"/>
  <c r="B33" i="5" s="1"/>
  <c r="B26" i="6"/>
  <c r="B25" i="6"/>
  <c r="B80" i="5"/>
  <c r="B79" i="5"/>
  <c r="B75" i="5"/>
  <c r="B76" i="5"/>
  <c r="B69" i="5"/>
  <c r="B67" i="5"/>
  <c r="B59" i="5"/>
  <c r="B58" i="5"/>
  <c r="B60" i="5"/>
  <c r="B34" i="5"/>
  <c r="B56" i="4"/>
  <c r="B55" i="4"/>
  <c r="B39" i="4"/>
  <c r="B35" i="5" s="1"/>
  <c r="B38" i="4"/>
  <c r="D13" i="3"/>
  <c r="B66" i="5"/>
  <c r="B70" i="5" s="1"/>
  <c r="B56" i="5"/>
  <c r="B55" i="5"/>
  <c r="B54" i="5"/>
  <c r="B48" i="5"/>
  <c r="B47" i="5"/>
  <c r="B46" i="5"/>
  <c r="B32" i="5"/>
  <c r="B37" i="5" s="1"/>
  <c r="B28" i="5"/>
  <c r="B27" i="5"/>
  <c r="B23" i="5"/>
  <c r="B22" i="5"/>
  <c r="B24" i="5" s="1"/>
  <c r="B15" i="5"/>
  <c r="B14" i="5"/>
  <c r="B13" i="5"/>
  <c r="B9" i="5"/>
  <c r="B8" i="5"/>
  <c r="B5" i="5"/>
  <c r="B51" i="4"/>
  <c r="B53" i="5" s="1"/>
  <c r="B50" i="4"/>
  <c r="B52" i="5" s="1"/>
  <c r="D27" i="3"/>
  <c r="D26" i="3"/>
  <c r="D25" i="3"/>
  <c r="D22" i="3"/>
  <c r="D21" i="3"/>
  <c r="D20" i="3"/>
  <c r="D19" i="3"/>
  <c r="D18" i="3"/>
  <c r="D17" i="3"/>
  <c r="D16" i="3"/>
  <c r="D15" i="3"/>
  <c r="D14" i="3"/>
  <c r="D12" i="3"/>
  <c r="D11" i="3"/>
  <c r="D23" i="3" s="1"/>
  <c r="D19" i="2"/>
  <c r="L19" i="2" s="1"/>
  <c r="L18" i="2"/>
  <c r="K18" i="2"/>
  <c r="J18" i="2"/>
  <c r="D18" i="2"/>
  <c r="D17" i="2"/>
  <c r="K17" i="2" s="1"/>
  <c r="D16" i="2"/>
  <c r="L16" i="2" s="1"/>
  <c r="L15" i="2"/>
  <c r="K15" i="2"/>
  <c r="J15" i="2"/>
  <c r="D15" i="2"/>
  <c r="D14" i="2"/>
  <c r="K14" i="2" s="1"/>
  <c r="D13" i="2"/>
  <c r="L13" i="2" s="1"/>
  <c r="B57" i="5" l="1"/>
  <c r="B54" i="4"/>
  <c r="B72" i="5"/>
  <c r="B63" i="5"/>
  <c r="B61" i="5"/>
  <c r="B74" i="5" s="1"/>
  <c r="B62" i="5"/>
  <c r="B36" i="5"/>
  <c r="B38" i="5"/>
  <c r="B16" i="5"/>
  <c r="B29" i="5"/>
  <c r="B41" i="5" s="1"/>
  <c r="B49" i="5"/>
  <c r="B10" i="5"/>
  <c r="B37" i="3"/>
  <c r="B40" i="3" s="1"/>
  <c r="C31" i="3"/>
  <c r="D31" i="3" s="1"/>
  <c r="L14" i="2"/>
  <c r="L17" i="2"/>
  <c r="J17" i="2"/>
  <c r="J14" i="2"/>
  <c r="J13" i="2"/>
  <c r="J16" i="2"/>
  <c r="J19" i="2"/>
  <c r="K13" i="2"/>
  <c r="K16" i="2"/>
  <c r="K19" i="2"/>
  <c r="B42" i="5" l="1"/>
  <c r="B40" i="5"/>
  <c r="B78" i="5" s="1"/>
  <c r="B24" i="6" s="1"/>
  <c r="B18" i="5"/>
  <c r="L20" i="2"/>
  <c r="B9" i="4" s="1"/>
  <c r="B15" i="6" s="1"/>
  <c r="K20" i="2"/>
  <c r="C28" i="3" s="1"/>
  <c r="J20" i="2"/>
  <c r="B7" i="4" s="1"/>
  <c r="B13" i="6" s="1"/>
  <c r="D28" i="3" l="1"/>
  <c r="C32" i="3"/>
  <c r="D32" i="3" s="1"/>
  <c r="D33" i="3" s="1"/>
  <c r="D37" i="3" s="1"/>
  <c r="D40" i="3" s="1"/>
  <c r="B8" i="4"/>
  <c r="D29" i="3" l="1"/>
  <c r="C37" i="3" s="1"/>
  <c r="C40" i="3" s="1"/>
  <c r="B42" i="3" s="1"/>
  <c r="B12" i="4" s="1"/>
  <c r="B17" i="6" s="1"/>
  <c r="B14" i="6"/>
  <c r="B68" i="5"/>
  <c r="B21" i="6" l="1"/>
  <c r="B43" i="6"/>
  <c r="B42" i="6"/>
  <c r="B41" i="6"/>
  <c r="B20" i="6"/>
  <c r="B30" i="6" s="1"/>
  <c r="B22" i="6"/>
  <c r="B32" i="6" s="1"/>
  <c r="B71" i="5"/>
  <c r="B40" i="6" l="1"/>
  <c r="B31" i="6"/>
  <c r="B35" i="6"/>
  <c r="A7" i="6" s="1"/>
  <c r="B37" i="6" l="1"/>
  <c r="A9" i="6" s="1"/>
  <c r="B36" i="6"/>
  <c r="A8" i="6" s="1"/>
</calcChain>
</file>

<file path=xl/sharedStrings.xml><?xml version="1.0" encoding="utf-8"?>
<sst xmlns="http://schemas.openxmlformats.org/spreadsheetml/2006/main" count="453" uniqueCount="328">
  <si>
    <t>Introduction-Welcome! Please read all information before using</t>
  </si>
  <si>
    <t xml:space="preserve">This interactive model is a tool designed to perform a return on investment (ROI) cost-benefit analysis of the financial and social impacts of Restorative Justice Conferencing (RJC) Programs compared to Criminal Justice System (CJS) processes. 
</t>
  </si>
  <si>
    <t xml:space="preserve">Data for this model was gathered through published research, interviews with restorative justice conferencing coordinators, and interviews with staff of the Philadelphia District Attorney's Office. </t>
  </si>
  <si>
    <t xml:space="preserve">RJC program costs can vary slightly depending on levels of supportive casework, but costs were generally consistent across programs. CJS process costs can vary dramatically depending on the processes used (i.e. courtroom involvement, incarceration, etc.) </t>
  </si>
  <si>
    <t>To reflect potential differences in CJS process costs, this model allows users to create three different scenarios (low, medium, and high cost) for calculating ROI outputs that reflect the diversity in CJS (and other) costs.</t>
  </si>
  <si>
    <t>Instructions-Please read all information before using</t>
  </si>
  <si>
    <t>1. This interactive model calculates Impact Return on Investment (IROI) through a cost-benefit-type analysis that compares Criminal Justice System (CJS) Programs with Restorative Justice Conferencing (RJC) Programs. The current data refers to cost and benefit values associated with reasonable estimates for Philadelphia, Pennsylvania, USA. Local values can be substituted to provide more accuracy for other jurisdictions. Current values were obtained from research and interviews; when a range was of values was reasonable, conservative values were selected to minimize any unintentional inflation of ROI values.</t>
  </si>
  <si>
    <t xml:space="preserve"> </t>
  </si>
  <si>
    <t xml:space="preserve">2. Users can adjust values for local accuracy on three sheets: CJS Program Costs, RJC Program Costs, and HP, RP, Community Inputs. Data on the calculations and IROI sheets will automatically update.  PLEASE do not change data on any sheets except the CJS Program Costes, RJC Program Costs, and HP, RP, Community Inputs sheets. </t>
  </si>
  <si>
    <t xml:space="preserve">3. Sheets are sequenced in the order in which values feed into the next step. Final values from CJS Program Costs are used in calculating additive RJC Program Costs.  These program costs are linked into the "HP, RP, Community Inputs" sheet. All other data in "HP, RP, Community Inputs" was determined through research and interviews (sources provided). The "HP, RP, Community Inputs" sheet provides data for the avoided costs and benefits "calculations" sheet. These values are used in final IROI calculations provided on the "IROI" sheet. </t>
  </si>
  <si>
    <t>4. In this model, "HP" refers to harmed parties and "RP" refers to a responsible party. Calculations are based on a PER CASE basis, in which "one case" is one responsible party who is eligible for referral to a RJC program (charged with an RJC eligible offense, acknowledges responsibility, and willing to participate in facilitated accountability practices). One case may have more than one harmed party. The number of harmed parties per case can be adjusted on the "Values and Sources" sheet under "Harmed Party Impacts."</t>
  </si>
  <si>
    <t>Limitation - to consider</t>
  </si>
  <si>
    <r>
      <t xml:space="preserve">All the costs and benefits reported here have a numerical value associated with them, but it is important to remember that some of the most meaningfrul costs and benefits are qualitative.  For example, participants in RJC report feeling more human, heard and valued.  For a more detailed analysis and many more stories, see Sered, 2019, </t>
    </r>
    <r>
      <rPr>
        <i/>
        <sz val="11"/>
        <color theme="1"/>
        <rFont val="Calibri"/>
        <family val="2"/>
      </rPr>
      <t xml:space="preserve">Until We Reckon, </t>
    </r>
    <r>
      <rPr>
        <sz val="11"/>
        <color theme="1"/>
        <rFont val="Calibri"/>
        <family val="2"/>
      </rPr>
      <t>the New Press.</t>
    </r>
  </si>
  <si>
    <t xml:space="preserve">Criminal Justice System (CJS) Program Costs </t>
  </si>
  <si>
    <t xml:space="preserve">This sheet details the AVERAGE costs associated with Criminal Justice System (CJS) processing PER CASE. One case = one responsible party (RP) eligible to be referred by the DA's office to a Restorative Justice Conferencing (RJC) program. </t>
  </si>
  <si>
    <t xml:space="preserve">Cost estimates were gathered through research sources (see notes and sources in this sheet) and through interviews with the Philadelphia District Attorney's Office. DAO staff are working on collecting and reporting more detailed costs; the model can be adjusted as these become available, and also includes an additional row for any additional categories of costs. </t>
  </si>
  <si>
    <t xml:space="preserve">To account for both unknowns and diversty in CJS costs (e.g., between jurisdictions), this model provides for three different levels of "sensititivty", that is low, medium, and high cost estimates. Model users can change the "units required" column values and the "percentage of RJC eligible cases in which this CJS cost would be applicable" column values as they see fit to match the typical use of processes for different types of charges. For example, for an assault charge, the use of any pre-trial incarceration days may apply to only a certain percentage of cases. The typical number of pre-trial incarceration days also varies between cases. Users can modify these columns for increased accuracy.  Note: Some rows have low, medium, and high percentages set at 100% because those costs typically apply to everyone involved in a CJS process. </t>
  </si>
  <si>
    <t xml:space="preserve"> Note on nomenclature: The cost estimates below are used to describe costs that the government would typically incur from the time of charging until an eligible case has been "completed" in the CJS system. It is important to note that the cost to "complete a case" does not necessarily lead to the practical matter of "resolving a case" in which harmed parties or those impacted have been satisfied. "Completing a case" in the CJS means that the case has proceeded through CJS processes until the CJS program determines that the process is complete. Completion in this sense may be procedural and have little to do with the needs of those involved or a specific goal (i.e. enacting plans to prevent future harm, demonstrating understanding of impact, taking accountability and doing apologies of action, personal growth demonstrated by positive changes in behavior patterns, applying new skills, public safety, etc.). In CJS, the outcomes and agreement plans are not determined by those most impacted, so it is difficult to determine when and if a case has truly been "resolved."</t>
  </si>
  <si>
    <t>Note on nomenclature: The commonly used term "Criminal Justice System" (CJS) is used throughout this model to describe criminal policing, prosecution, courts, and corrections processes. An alternative name, "Criminal Legal System," (CLS) was also strongly considered for use because it is increasingly accepted as a more accurate descriptor of the processes in place. The term "Criminal Justice System" was ultimately selected for use because it is more widely recognized at the current time and may help users find and access the material.</t>
  </si>
  <si>
    <t>Note on fines and fees: Court fees and fines, probation/parole fees, and expungement fees owed by responsible parties were not included in this analysis because there is abundant evidence that there are low rates of payment (on average $28 are collected for every $100 charged in fees and fines for PA public defense clients). These fines and fees were also excluded from calculations describing avoided costs to Responsible Parties when participating in RJC programs. Even though these costs were excluded from this financial analysis, it is important to recognize that the accumulation of these debts is a current long term consequence carried by responsible parties. (https://www.aclupa.org/sites/default/files/field_documents/fines_and_costs_report_updated_march_2021.pdf)</t>
  </si>
  <si>
    <t>Criminal Justice System (CJS) Costs for RJC Eligible Cases That Go Through CJS to "Case Completion"</t>
  </si>
  <si>
    <t>Notes</t>
  </si>
  <si>
    <t>Sources</t>
  </si>
  <si>
    <t>Second Source</t>
  </si>
  <si>
    <t xml:space="preserve">To make this interactive model more accurate, please adjust the values in the columns with down arrows over them. </t>
  </si>
  <si>
    <r>
      <rPr>
        <b/>
        <sz val="8"/>
        <color theme="1"/>
        <rFont val="Calibri"/>
        <family val="2"/>
      </rPr>
      <t xml:space="preserve">Do </t>
    </r>
    <r>
      <rPr>
        <b/>
        <i/>
        <sz val="10"/>
        <color theme="1"/>
        <rFont val="Calibri"/>
        <family val="2"/>
      </rPr>
      <t>not</t>
    </r>
    <r>
      <rPr>
        <b/>
        <sz val="8"/>
        <color theme="1"/>
        <rFont val="Calibri"/>
        <family val="2"/>
      </rPr>
      <t xml:space="preserve"> enter new values in this column.</t>
    </r>
  </si>
  <si>
    <t>Do not enter new values in this column.</t>
  </si>
  <si>
    <t>Percentage of RJC Eligible Cases in which this CJS Cost Would be Applicable</t>
  </si>
  <si>
    <t>CJS Program Cost Per Case to Completion * Percentage of RJC Eligible Cases in which these CJS Costs Would be Applicable</t>
  </si>
  <si>
    <t>Criminal Justice System (CJS) Program Costs 
(1 case=RP eligible referral)</t>
  </si>
  <si>
    <t>Units Required (see left column for unit, i.e. per day, session, or case)</t>
  </si>
  <si>
    <t>Cost/unit</t>
  </si>
  <si>
    <t>CJS Program Cost Per Case to Completion:    Units * Cost=</t>
  </si>
  <si>
    <t>Low</t>
  </si>
  <si>
    <t>Medium</t>
  </si>
  <si>
    <t>High</t>
  </si>
  <si>
    <t>Low CJS Total Costs per Case</t>
  </si>
  <si>
    <t>Medium CJS Total Costs per Case</t>
  </si>
  <si>
    <t>High CJS Total Costs per Case</t>
  </si>
  <si>
    <t xml:space="preserve">Average $ cost of DAO prosecution operations-processing, coordinating, intake, evidence review, preparation, court appearances, plea bargaining discussions, follow up, etc. PER CASE  (Can be broken out into individual rows instead) </t>
  </si>
  <si>
    <t>This number is calculated by dividing the total DAO budget divided by the number of charges issued per year.  As such, it represents a mythical average cost per charge, some place between the most expensive and least expensive charges to administer but weighted by the number of each type of charges made.  Further, we do not differentiate between low, medium and high, because the average already accounts for the weighting by number of cases - a weighted average that we believe skews low because there are likely many more low-severity/low-cost charges preferred than there are high-severity/high-cost charges.  This number could be improved by identifying 1) the percentage of charges eligible for RJC and the costs associated with charges that could be eligible for RJC.</t>
  </si>
  <si>
    <r>
      <rPr>
        <sz val="8"/>
        <color theme="1"/>
        <rFont val="Calibri"/>
        <family val="2"/>
      </rPr>
      <t xml:space="preserve">Values provided by Philadelphia DAO. See interview list in report bibliography.    Boochever, O adn Meire, C. (2023). Safety in Numbers: Analyzing the Costs and Outcomes in the Philadelphia Criminal Legal System. Harvard Kennedy School. </t>
    </r>
    <r>
      <rPr>
        <u/>
        <sz val="8"/>
        <color rgb="FF1155CC"/>
        <rFont val="Calibri"/>
        <family val="2"/>
      </rPr>
      <t>https://drive.google.com/file/d/1QeajLVpWXGZz0ntJIYCFVURWg8iEL_CG/view?usp=drivesdk</t>
    </r>
  </si>
  <si>
    <t>Average $ cost Public Defender fees PER CASE</t>
  </si>
  <si>
    <t>$80 value per case was calculated by dividing Philadelphia Public Defender starting salary by the number of annual caseload number  (pg. xii of source).  As with the previous row, because we are using an average that is weighted by the number and type of charges defended, there is no way to differentiate low, medium and high percentages of RJC-eligible cases defended.  This number could be imporoved by identifying 1) the percentage of charges eligible for RJC and the defense costs associated with RJC-eligible charges.</t>
  </si>
  <si>
    <r>
      <rPr>
        <u/>
        <sz val="8"/>
        <color rgb="FF0563C1"/>
        <rFont val="Calibri"/>
        <family val="2"/>
      </rPr>
      <t>https://fingfx.thomsonreuters.com/gfx/legaldocs/egvbmodrzpq/RAND_RRA2559-1.pdf</t>
    </r>
    <r>
      <rPr>
        <sz val="8"/>
        <color theme="10"/>
        <rFont val="Calibri"/>
        <family val="2"/>
      </rPr>
      <t xml:space="preserve">; </t>
    </r>
    <r>
      <rPr>
        <u/>
        <sz val="8"/>
        <color rgb="FF1155CC"/>
        <rFont val="Calibri"/>
        <family val="2"/>
      </rPr>
      <t>https://whyy.org/articles/philly-public-defenders-staff-pay-raise/</t>
    </r>
  </si>
  <si>
    <t xml:space="preserve">Average $ cost of Court operations-judge, baliff, clerks, maint, continuances, etc. PER CASE </t>
  </si>
  <si>
    <t>$6,000 was estimaged by looking at the history of average court budget per case figures: for FY 2017e-$4559; for FY 2018-$4,835; for FY 2019-$5,906, FY 2020-$9,415; for FY 2021-$12,330. We excluded FY2021-2022 because bottlenecks exacerbated by COVID shutdowns created unusually high per case costs for that year. $6,000 seemed reasonable and conservative estimate for FY 2025.  As with the previous row, because we are using an average that is weighted by the number and type of charges incurring court costs, there is no way to differentiate low, medium and high percentages of RJC-eligible cases incurring court costs.  This number could be imporoved by identifying 1) the percentage of charges eligible for RJC and the court costs associated with RJC-eligible charges.</t>
  </si>
  <si>
    <t>Boochever, O adn Meire, C. (2023). Safety in Numbers: Analyzing the Costs and Outcomes in the Philadelphia Criminal Legal System. Harvard Kennedy School.  https://drive.google.com/file/d/1QeajLVpWXGZz0ntJIYCFVURWg8iEL_CG/view?usp=drivesdk</t>
  </si>
  <si>
    <t>Average $ cost pre-trial and/or pre-sentencing incarceration PER DAY/PER PERSON</t>
  </si>
  <si>
    <r>
      <rPr>
        <sz val="8"/>
        <color theme="1"/>
        <rFont val="Calibri"/>
        <family val="2"/>
      </rPr>
      <t xml:space="preserve">Fiscal Year (FY) 2021 and FY 2022 Cost of Incarceration Fee (COIF) for Federal inmates. This is a conservative value, Philadelphia COIF rates are higher. The # of days is a guess; here's a report that identifies factors that affect pre-trial time but does not give an estimate of actual time. </t>
    </r>
    <r>
      <rPr>
        <u/>
        <sz val="8"/>
        <color rgb="FF1155CC"/>
        <rFont val="Calibri"/>
        <family val="2"/>
      </rPr>
      <t>https://www.phila.gov/media/20250616114000/May-2025-Full-Public-Report.pdf.</t>
    </r>
  </si>
  <si>
    <r>
      <rPr>
        <u/>
        <sz val="8"/>
        <color rgb="FF0563C1"/>
        <rFont val="Calibri"/>
        <family val="2"/>
      </rPr>
      <t>https://www.federalregister.gov/documents/2023/09/22/2023-20585/annual-determination-of-average-cost-of-incarceration-fee-coif</t>
    </r>
    <r>
      <rPr>
        <u/>
        <sz val="8"/>
        <color rgb="FF000000"/>
        <rFont val="Calibri"/>
        <family val="2"/>
      </rPr>
      <t xml:space="preserve">; </t>
    </r>
    <r>
      <rPr>
        <u/>
        <sz val="8"/>
        <color rgb="FF1155CC"/>
        <rFont val="Calibri"/>
        <family val="2"/>
      </rPr>
      <t>https://www.phila.gov/media/20250616114000/May-2025-Full-Public-Report.pdf</t>
    </r>
  </si>
  <si>
    <t>Average $ cost post-sentencing incarceration PER DAY/PER PERSON</t>
  </si>
  <si>
    <t>Used 365 days for one year of incarceration. Fiscal Year (FY) 2021 and FY 2022 Cost of Incarceration Fee (COIF) for Federal inmates. This is a conservative value, Philadelphia COIF rates are higher ($48,000). If an RJC program has a high proportion of people facing felony charges than it would be expected that most participants would face longer terms of incarceration than one year.</t>
  </si>
  <si>
    <t>https://www.federalregister.gov/documents/2023/09/22/2023-20585/annual-determination-of-average-cost-of-incarceration-fee-coif; If RJ cases are weighted to misdemeanor then low to medium range; if weighted to felony than &gt;1yr (could be more than 150%). Safety in Numbers Analyzing Costs and Outcomes in the Philadelphia Criminal Legal System, Prepared by Oscar Boochever and Chuck Meire, Harvard Kennedy School, April 4, 2023.</t>
  </si>
  <si>
    <t xml:space="preserve">
</t>
  </si>
  <si>
    <t>Average $ cost Supervision PER CASE</t>
  </si>
  <si>
    <t>This value was obtained by dividing the 2015 PA budget for supervision ($201,585,365) by the number of people under supervision (270,000). Interviews suggest that this might be between 1000 &amp; 3000 per supervision case annually.  As with several previous rows, because we are using an average that is weighted by the number and type of charges supervised, there is no way to differentiate low, medium and high percentages of RJC-eligible cases supervised.  This number could be improved by identifying 1) the percentage of charges eligible for RJC and the supervision costs associated with RJC-eligible charges.</t>
  </si>
  <si>
    <t>https://www.palbfc.gov/Resources/Documents/Reports/509.pdf</t>
  </si>
  <si>
    <t>DAO CONTRIBUTORS-PLEASE LIST ADDITIONAL COSTS BELOW-List Average $ cost for category PER UNIT (specify unit)</t>
  </si>
  <si>
    <t>Need data from the DA's office on current CJS process for potentially RJC eligible cases. Additional drug testing costs (separate from supervision)?</t>
  </si>
  <si>
    <t>Total Cost of CJS Proceedings Per Case (for RJC eligible cases)</t>
  </si>
  <si>
    <t xml:space="preserve">These are low, medium, and high cost estimates for one case for a person who is RJC eligible, but goes through the traditional CJS process. </t>
  </si>
  <si>
    <t xml:space="preserve">Medium </t>
  </si>
  <si>
    <t>Restorative Justice Conferencing (RJC) Program Costs</t>
  </si>
  <si>
    <t>Please read the text below for information about Restorative Justice Conferencng (RJC) Program Cost Per Case calculations.</t>
  </si>
  <si>
    <t xml:space="preserve">This sheet details an estimate for the AVERAGE costs associated with a Restorative Justice Conferencing (RJC) Program PER CASE. One case = one eligible responsible party (RP) referred to a RJC program by the DA's office. </t>
  </si>
  <si>
    <t>RJC program cost estimates were gathered through interviews conducted with currently operating local and national RJC diversion programs.</t>
  </si>
  <si>
    <t>"Resolution" or a "completed case" means that the harmed party (HP) and responsible party (RP) reached agreements and created a specific plan during a RJC and that the RP fulfilled those agreements.</t>
  </si>
  <si>
    <t>"Incomplete or unresolved cases" involved parts of the RJC process, but did not lead to the fulfillment of agreements and the case was referred back to the Criminal Justice System (CJS).</t>
  </si>
  <si>
    <t xml:space="preserve">After RJC intake evaluation, less than 3% of cases would likely be "unresolved" through RJC and return to the CJS after beginning an RJC process. For cases that have partial completion of RJC processes, we have included a table at the bottom of this chart that shows additive costs (parital RJC + CJS) have been accounted for when calculating the AVERAGE cost associated with an RJC program for one eligible case. </t>
  </si>
  <si>
    <t>Costs for RJC Eligible Cases That Go Through To Resolution/Case Completion</t>
  </si>
  <si>
    <t>Notes/Logic/Formula</t>
  </si>
  <si>
    <t>Restorative Justice Conferencing (RJC) Program Cost  
(1 case=1 RP eligible referral)</t>
  </si>
  <si>
    <t>Hours or Units Required</t>
  </si>
  <si>
    <t>$/hr or $/unit</t>
  </si>
  <si>
    <t>Cost to Reach Resolution: Hours or Units * Cost=</t>
  </si>
  <si>
    <t>RJC program initially evaluates whether to take case</t>
  </si>
  <si>
    <t>$25 matches the hourly cost we heard in interviews, but we raised it to $50 to be conservative because most current initiatives are small and likely understimate the time and cost requirements incurred by larger organizations with larger staffs.  We also increased the hourly rate to capture the total cost of employing someone - that is, the additional amount for tax and benefits - approximately 30% for non-profits (although these extras can go as high as 35%).</t>
  </si>
  <si>
    <t>Values provided by RJC programs. See interview list in report bibliography.</t>
  </si>
  <si>
    <t xml:space="preserve">Pre-conferencing preparation with HPs, RP, and supporters </t>
  </si>
  <si>
    <t>High middle or high end of estimates shared in interviews.</t>
  </si>
  <si>
    <t>Wrap around/support/case work for HPs, RP, and supporters</t>
  </si>
  <si>
    <t>Transporation for participants to onsite activities and conference</t>
  </si>
  <si>
    <t>Conference facilitation, location coordination, and set up</t>
  </si>
  <si>
    <t>Post-conference food/snacks for "breaking bread" together</t>
  </si>
  <si>
    <t>Follow up with participants to monitor/support agreement fulfillment</t>
  </si>
  <si>
    <t>Follow up services and activities for HP and RP-community support and integration, celebration of agreement fulfillment</t>
  </si>
  <si>
    <t>RJC program facilities and adminstrative overhead costs</t>
  </si>
  <si>
    <t>Facilities costs, insurance, office supplies, etc.</t>
  </si>
  <si>
    <t>RJC progam non-faciliation staff (leadership, financial, data analysis)</t>
  </si>
  <si>
    <t xml:space="preserve">This is the cost of the program management and coordination on a per case basis estimated on the basis of two admin staff in a program handling 1,000 cases/year (average salary of $65,000 and a taxes and benefits overhead of 30%). </t>
  </si>
  <si>
    <t>RJC program ongoing training and professional development</t>
  </si>
  <si>
    <t>Projected CJS overhead to process a case through RJC</t>
  </si>
  <si>
    <t xml:space="preserve">Present state includes: 
o FTE Juvenile Victim Witness Coordinator 
o FTE Director of Family and Youth Services
o FTE Adult Restorative Justice Supervisor 
o PTE Juvenile Diversion Supervisor (20%)
o PTE Adult Diversion Supervisor (5%)
o PTE Juvenile Paralegal (10%)
o PTE Data Analyst (10%)
o PTE Researcher (10%)
Future state may include:
o FTE ADAs and RJ personnel that look at case between
arrest/charging and preliminary hearing
o FTE Adult Restorative Justice Victim Witness Coordinator
o FTE Restorative Justice Paralegal
o PTE Data Analyst (50%)
o PTE Researcher (50%)
NOTE: we adjusted all amounts to reflect the ideas that this staff apportionment could handle about 1000 cases. </t>
  </si>
  <si>
    <t xml:space="preserve">From Personal Communication with DAO staffers on 1/24/25.  Estimated value.  DA office is working to improve the estimate. </t>
  </si>
  <si>
    <t xml:space="preserve">Cost Total for Cases that go to Resoulution via RJC </t>
  </si>
  <si>
    <t>This is a sum of the values above it in this section.</t>
  </si>
  <si>
    <t xml:space="preserve">This estimate is for baseline RJC. For RJC that includes more thorough wrap around supports like job placement, connection with healthcare providers, emergency shelter, etc (and potentially better long term outcomes) the costs woulud be closer to $7000/case accroding to practioner interview notes. </t>
  </si>
  <si>
    <t>Costs of RJC Eligible Cases that only go through Pre-Conferecing process and then are Referred back to CJS
(Preconferncing RJC Process Costs Only + CJS Process Costs)</t>
  </si>
  <si>
    <t>This value is only $100 to reflect that doing pre-conferencing only is a fraction of the portion of the overhead.</t>
  </si>
  <si>
    <t>Total Average $ Cost of CJS Proceedings (from CJS sheet)</t>
  </si>
  <si>
    <t>The value for estimated CJS costs is from the "medium" percentage of total costs for a CJS processed case on the sheet labeled CJS program costs.</t>
  </si>
  <si>
    <t>RJC + CJS Cost Total for Cases that go through Preconferencing only, do not proceed to conferncing</t>
  </si>
  <si>
    <t>Costs of RJC Eligible Cases that go through Conferencing Process but do not result in agreements or agreeemnt fulfillment and are then referred back to CJS
(RJC Process Costs + CJS Process Costs)</t>
  </si>
  <si>
    <t xml:space="preserve">RJC cases that are fully conferenced, but not resolved and return to CJS </t>
  </si>
  <si>
    <t>The value for estimated CJS costs is from the "medium" of total costs for a CJS processed case on the sheet labeled CJS program costs.</t>
  </si>
  <si>
    <t>Cost Total for Cases that go through RJ Conferencing but do not result in agreeement or agreement fulfillment (essentially RJC and CJS costs combined)</t>
  </si>
  <si>
    <t>Calculating RJC Program Average Cost Per Case</t>
  </si>
  <si>
    <t>Cost for cases that go to resolution through RJC program (full RJC costs only)</t>
  </si>
  <si>
    <t>Cost for cases that go through pre-conferencing only, do not proceed, and go back to CJS, (partial RJC Costs + CJS Costs)</t>
  </si>
  <si>
    <t>Cost for cases that go through RJC process, but not resolved and back to CJS, (full RJC + CJS Costs)</t>
  </si>
  <si>
    <t>Program costs per case</t>
  </si>
  <si>
    <t>These values are from the calculations in the tables above.</t>
  </si>
  <si>
    <t>To make this interactive model more accurate, please adjust the PERCENTAGE VALUES ONLY in the columns with down arrows over them. The three values must total exactly 100%</t>
  </si>
  <si>
    <t>% of cases that this condition applies to (assuming 100 case sample)</t>
  </si>
  <si>
    <t>RJC practioners shared completion rates of 96-99%.</t>
  </si>
  <si>
    <t>Cost per type of case outcome * 100 cases * frequence of occurence</t>
  </si>
  <si>
    <t>Program costs per case * Percent this condition applies to * 100 cases</t>
  </si>
  <si>
    <t>Total RJC Costs per 100 cases sample</t>
  </si>
  <si>
    <t>Sum of costs from line above for 100 cases that are a mixture of RJC only and partial RJC + CJS</t>
  </si>
  <si>
    <t>RJC Average Cost Per Case</t>
  </si>
  <si>
    <t>Total costs for 100 cases divided by 100</t>
  </si>
  <si>
    <t>HP, RP, and Community Inputs: Values and References/Sources</t>
  </si>
  <si>
    <t>Please read the text below for information about this sheet.</t>
  </si>
  <si>
    <t xml:space="preserve">All data for the "calculations" and "IROI" sheets are sourced from this sheet. Values are reasonable estimates based on the research sources and/or interviews provided. </t>
  </si>
  <si>
    <r>
      <rPr>
        <sz val="11"/>
        <color theme="1"/>
        <rFont val="Calibri"/>
        <family val="2"/>
      </rPr>
      <t xml:space="preserve">The </t>
    </r>
    <r>
      <rPr>
        <b/>
        <sz val="11"/>
        <color theme="1"/>
        <rFont val="Calibri"/>
        <family val="2"/>
      </rPr>
      <t>number of Harmed Parties (HP)</t>
    </r>
    <r>
      <rPr>
        <sz val="11"/>
        <color theme="1"/>
        <rFont val="Calibri"/>
        <family val="2"/>
      </rPr>
      <t xml:space="preserve"> can be modified as needed on this sheet in the section under "Harmed Party Impacts Per Case."</t>
    </r>
  </si>
  <si>
    <t>Value</t>
  </si>
  <si>
    <t>Measure</t>
  </si>
  <si>
    <t>Range</t>
  </si>
  <si>
    <t>Sources &amp; Additional Notes</t>
  </si>
  <si>
    <t>To make this interactive model more accurate, ONLY adjust the values in the rows with the blue arrows pointing to them.</t>
  </si>
  <si>
    <t xml:space="preserve">Average CJS Program Costs per Case </t>
  </si>
  <si>
    <t>Low Value</t>
  </si>
  <si>
    <t>See sheet labeled "CJS Program Costs."</t>
  </si>
  <si>
    <t>Medium Value</t>
  </si>
  <si>
    <t>High Value</t>
  </si>
  <si>
    <t xml:space="preserve">Average RJC Program Costs per Case </t>
  </si>
  <si>
    <t xml:space="preserve">Costs calculated by interviewing current RJC programs. </t>
  </si>
  <si>
    <t>$3000-$6000</t>
  </si>
  <si>
    <t>See sheet labeled "RJC Program Costs."</t>
  </si>
  <si>
    <t>Harmed Party Impacts Per Case</t>
  </si>
  <si>
    <t>Average number of harmed parties per case</t>
  </si>
  <si>
    <t>0-10</t>
  </si>
  <si>
    <t xml:space="preserve">Two HP is conservative. All RJC practioners interviewed shared that in addition to the directly harmed party, those closest to them (spouse, child, parent) are also harmed during events that impact HP safety and welfare. </t>
  </si>
  <si>
    <t>HP Restitution Recieved vs. CJS Restitution Received</t>
  </si>
  <si>
    <t>Average restitution needed per harmed party</t>
  </si>
  <si>
    <t>$0-10,000</t>
  </si>
  <si>
    <t>$1500 over and above what the victim fund might pay for eligible costs. (One interviewee suggested $3000, and another $1000.)</t>
  </si>
  <si>
    <t xml:space="preserve">Additional values provided by RJC programs. See interview list in report bibliography.   https://www.aclupa.org/app/uploads/2021/03/fines_and_costs_report_updated_march_2021.pdf     </t>
  </si>
  <si>
    <t>Percent increase in restitution payments made when RP goes through RJC vs. CJS</t>
  </si>
  <si>
    <t>RP in RJC programs are more likely to pay restitution (89%) than those sentenced through CJS (66%), a 23% increase.</t>
  </si>
  <si>
    <t>Domínguez, P., &amp; Raphael, S. (2015). The role of the cost-of-crime literature in bridging the gap between social science research and policy making: Potentials and limitations. Criminology &amp; Public Policy, 14(4), 589-632. https://doi.org/10.1111/1745-9133.12148</t>
  </si>
  <si>
    <t>HP Reduced Time in Court and Legal Proceedings</t>
  </si>
  <si>
    <t xml:space="preserve">Avoided Cost-Transporation Expenses </t>
  </si>
  <si>
    <t>$0-35,000</t>
  </si>
  <si>
    <t>Funds used to reimburse an individual who incurs expenses traveling to or from counseling or to attend a criminal justice proceeding, and for efforts that aid the investigation.  RJC programs typically include transporation for participants in their program costs. Estimated expenses as valued by PA Victim Compensation Funds value ($35,000 maximum). Adult diversion estimate provided by RJC practioners (see interview notes).</t>
  </si>
  <si>
    <t>https://www.pa.gov/content/dam/copapwp-pagov/en/pcv/documents/for-victims/documents/transportation%20expenses.pdf</t>
  </si>
  <si>
    <t xml:space="preserve">Avoided Cost-Loss of Income </t>
  </si>
  <si>
    <t>$0-15,000</t>
  </si>
  <si>
    <t xml:space="preserve">Funds used to cover losses to do attending court, counseling, and efforts that aid the investigation. Estimated expenses as valued by PA Victim Compensation Funds ($15,000 maximum). $7,500 was chosen as a reasonable estimate to account for HP variety of earnings and situations. HP with salaried jobs and benefits may be able to take time without direct compensation loss. HP involved in hourly or gig work will have more substantial impacts and lost working opportunties because of time needed to attend legal proceedings. Depending on the jurisdiction, there might be a fund to cover some of these expenses. A portion of this HP benefit might in fact be a community benefit if there is a fund available and HP go through the process to receive those benefits. </t>
  </si>
  <si>
    <t>https://www.pa.gov/content/dam/copapwp-pagov/en/pcv/documents/victims-compensation/loss%20of%20earnings%20flyer.pdf</t>
  </si>
  <si>
    <t xml:space="preserve">Percent difference in time and expense lost due to attending legal proceedings.  </t>
  </si>
  <si>
    <t>0-100%</t>
  </si>
  <si>
    <t xml:space="preserve">i.e. # of days and trips needed to participate in RJC compared to # of days and trips to participate in CJS. RJC scheduling is streamlined to those directly invovled and flexible to accomodate scheduling needs. CJS court appearances are often stayed because a critical participant does not show, rescheduling after showing up for scheduled appointments adds to total missed work hours for HP. </t>
  </si>
  <si>
    <t>Need DAO staff input for this data point, estimate based on interviews.</t>
  </si>
  <si>
    <t>Responsible Party Impacts Per Case</t>
  </si>
  <si>
    <t>Increase in RP one year wage earnings from GED completion and/or continuing education agreements in RJC program</t>
  </si>
  <si>
    <t xml:space="preserve">Average increase in one year earnings when GED/high school diploma obtained OR continuing education through RJC agreements. </t>
  </si>
  <si>
    <t>$5,252-27,920</t>
  </si>
  <si>
    <t xml:space="preserve">$8,840 with HS diploma/GED. National averages ($953/week with some college, $852/week with HS diploma). Weekly difference of $101. One year difference ($101*52) equals additional $5,252 with some college/training. High end estimated is calculated by looking at salaries of graduates from short term continuing education program specializing in IT skills and subtracting minimum wage ($43,000-15,080). </t>
  </si>
  <si>
    <t>https://www.bls.gov/careeroutlook/2023/data-on-display/education-pays.htm</t>
  </si>
  <si>
    <t>Percent obtaining GED/continuing education due to RJC program agreements</t>
  </si>
  <si>
    <t>Estimate</t>
  </si>
  <si>
    <t xml:space="preserve">See RJC practioner interview notes. This could be improved by surveying more practioners. </t>
  </si>
  <si>
    <t>Avoided RP expungement related earnings reductions</t>
  </si>
  <si>
    <t>Avoided decrease in earnings due to expungment instead of having a record</t>
  </si>
  <si>
    <t>16-52% decrease</t>
  </si>
  <si>
    <t>20% reduction was chosen to be convservative in the wide range between 16% for misdeamenor convictions and 52% for felony convictions. Assuming a yearly federal minimum wage salary of $15,080, a 20% reduction because of having a criminal record would be a loss of $3,016 dollars. This is conservative estimate of the avoided cost.</t>
  </si>
  <si>
    <t>https://www.brennancenter.org/our-work/research-reports/conviction-imprisonment-and-lost-earnings-how-involvement-criminal#:~:text=People%20convicted%20of%20a%20felony,an%20average%20of%2016%20percent.</t>
  </si>
  <si>
    <t>Percent increase in expungement rate due to RJC program over CJS program</t>
  </si>
  <si>
    <t>20-100%</t>
  </si>
  <si>
    <t xml:space="preserve">Conviction relief/expungement follow through below 20% is the norm after CJS (pg. 524). RJC programs have 95-100% expungement. </t>
  </si>
  <si>
    <t>Chien, Colleen V. “America’s Paper Prisons: The Second Chance Gap.” SSRN Scholarly Paper. Rochester, NY: Social Science Research Network, December 16, 2020. https://doi.org/10.2139/ssrn.3265335.</t>
  </si>
  <si>
    <t>RP earnings because not incarcerated</t>
  </si>
  <si>
    <t>One year earnings due to RJC program vs. average one year of being incarcerated (RJ practioners noted potential sentences from 3-24 months, with many in the 11-24 month range)</t>
  </si>
  <si>
    <t>Federal minimum wage is $15,080 for a full time worker. Incarceration sentences vary greatly depending on type of charge and whether a felony or misdemeanor. The average sentencing for most types of charges was still greather than 12 months. The cost of incarceration would be avoided through RJC programs.</t>
  </si>
  <si>
    <r>
      <rPr>
        <u/>
        <sz val="9"/>
        <color rgb="FF0563C1"/>
        <rFont val="Calibri"/>
        <family val="2"/>
      </rPr>
      <t xml:space="preserve">https://www.dol.gov/general/topic/wages/minimumwage
</t>
    </r>
    <r>
      <rPr>
        <u/>
        <sz val="9"/>
        <color rgb="FF1155CC"/>
        <rFont val="Calibri"/>
        <family val="2"/>
      </rPr>
      <t>https://www.ussc.gov/about/annual-report-2023?utm_source=chatgpt.com#_ftn10</t>
    </r>
    <r>
      <rPr>
        <u/>
        <sz val="9"/>
        <color rgb="FF000000"/>
        <rFont val="Calibri"/>
        <family val="2"/>
      </rPr>
      <t xml:space="preserve"> 
https://www.prisonpolicy.org/global/2024.html#:~:text=As%20a%20result%2C%20incarceration%20has,and%20just%20in%20the%20world </t>
    </r>
  </si>
  <si>
    <t>LOW VALUE-Percent of RP who would avoid one year incarceration sentences because of completion of RJC program</t>
  </si>
  <si>
    <t>The value in this row comes from the tab "CJS Program Costs" and the line "Average $ cost post-sentencing incarceration PER DAY/PER PERSON"</t>
  </si>
  <si>
    <t>MEDIUM VALUE-Percent of RP who would avoid one year incarceration sentences because of completion of RJC program</t>
  </si>
  <si>
    <t>HIGH VALUE-Percent of RP who would avoid one year incarceration sentences because of completion of RJC program</t>
  </si>
  <si>
    <t>Community Impacts Per Case-One Year</t>
  </si>
  <si>
    <t>Community Service Hours Benefit</t>
  </si>
  <si>
    <t>Average hours of community service per case</t>
  </si>
  <si>
    <t>20-40</t>
  </si>
  <si>
    <t>When community service is part of agreements, it's typically around 40 hours. Note that we assume only 15% of cases include community service.</t>
  </si>
  <si>
    <t>See RJC practioner interview notes.</t>
  </si>
  <si>
    <t>Dollar value of community service/hour</t>
  </si>
  <si>
    <t>$7.25-15</t>
  </si>
  <si>
    <t>Much higher estimates ($31/hour in PA) are currently accepted as the dollar value of community service, but $15/hour was a more conservative estimate to reflect earnings closer to the minimum wage.</t>
  </si>
  <si>
    <t>https://independentsector.org/wp-content/uploads/2024/04/is-vovt-report-all-years_v2-1.pdf</t>
  </si>
  <si>
    <t>Percentage of RP that are assigned and complete community service as part of RJC agreements</t>
  </si>
  <si>
    <t>Philadelphia Adult diversion RJC practioners shared that community service is less common for adult than for youth RJ agreements.</t>
  </si>
  <si>
    <t>See RJ practioner interview notes.</t>
  </si>
  <si>
    <t>Tax Revenue Benefit Value Due to RP Increased Employment and Earnings</t>
  </si>
  <si>
    <t>Avoided lost one year taxable earnings due to RJC program vs. one year of being incarcerated (federal minimum wage).</t>
  </si>
  <si>
    <t>$0-$60,000</t>
  </si>
  <si>
    <t>Federal minimum wage one year salary.</t>
  </si>
  <si>
    <t>https://www.dol.gov/general/topic/wages/minimumwage</t>
  </si>
  <si>
    <t>Conservative tax rate of 16.75% (Federal-10%, PA state tax-3%, Phila city wage tax-3.75%)</t>
  </si>
  <si>
    <t>5-25% tax rate</t>
  </si>
  <si>
    <t>https://www.irs.gov/filing/federal-income-tax-rates-and-brackets</t>
  </si>
  <si>
    <r>
      <rPr>
        <u/>
        <sz val="9"/>
        <color rgb="FF0563C1"/>
        <rFont val="Calibri"/>
        <family val="2"/>
      </rPr>
      <t>https://www.pa.gov/agencies/revenue/resources/tax-rates.html</t>
    </r>
    <r>
      <rPr>
        <u/>
        <sz val="9"/>
        <color rgb="FF000000"/>
        <rFont val="Calibri"/>
        <family val="2"/>
      </rPr>
      <t xml:space="preserve">;
</t>
    </r>
    <r>
      <rPr>
        <u/>
        <sz val="9"/>
        <color rgb="FF1155CC"/>
        <rFont val="Calibri"/>
        <family val="2"/>
      </rPr>
      <t>https://www.phila.gov/services/payments-assistance-taxes/taxes/business-taxes/business-taxes-by-type/wage-tax-employers/</t>
    </r>
  </si>
  <si>
    <t>(Transferred from above)</t>
  </si>
  <si>
    <t xml:space="preserve">Average increase in one year earnings when GED/high school diploma obtained OR continuing ed through RJC agreements. </t>
  </si>
  <si>
    <t>See above for calculation</t>
  </si>
  <si>
    <t>Percent RP obtaining GED/continuing ed due to RJC program agreements</t>
  </si>
  <si>
    <t xml:space="preserve">See interview notes from RJ practioners. </t>
  </si>
  <si>
    <t>Reduced Recidivism Rate Savings-Avoided Government Funds Spent on Future CJS Processes</t>
  </si>
  <si>
    <t>% Reduction in Recidivism with RJC Programs Compared To CJS Programs (for example, if a typical CJS recidivism rate over five years is 20%, RJC program recidivism is 13%).</t>
  </si>
  <si>
    <t>7-29%</t>
  </si>
  <si>
    <r>
      <t xml:space="preserve">Estimates vary for recidivism rates for those who complete a competent, adult-oriented RJ program.  The recidivism rates people who have completed RJ programs range from 6% to 19% within </t>
    </r>
    <r>
      <rPr>
        <i/>
        <sz val="11"/>
        <color rgb="FF000000"/>
        <rFont val="Calibri"/>
        <family val="2"/>
      </rPr>
      <t>five years</t>
    </r>
    <r>
      <rPr>
        <sz val="11"/>
        <color rgb="FF000000"/>
        <rFont val="Calibri"/>
        <family val="2"/>
      </rPr>
      <t xml:space="preserve"> of completing the contract (Kimmenez, 2024; Sered, 2019).  These rates are much less than Pennsylvania’s ~35% three-year recidivism rate for those going through the CJS system (Bucklen et al., 2022),[1].  Our model assumes only a 1 year timespan, and it would be reasonable to expect that the RJC recividism rate would be better for one year than for five years.  Nevertheless, we use a very conservative 15%.  
</t>
    </r>
  </si>
  <si>
    <r>
      <rPr>
        <u/>
        <sz val="9"/>
        <color rgb="FF0563C1"/>
        <rFont val="Calibri"/>
        <family val="2"/>
      </rPr>
      <t xml:space="preserve">https://gspp.berkeley.edu/assets/uploads/research/pdf/Dom-nguez_et_al-2015-Criminology__Public_Policy.pdf
</t>
    </r>
    <r>
      <rPr>
        <u/>
        <sz val="9"/>
        <color rgb="FF000000"/>
        <rFont val="Calibri"/>
        <family val="2"/>
      </rPr>
      <t xml:space="preserve">See also this meta-analyses across multiple studies that reported 7% and 15% reduction in recidivism rates per year (over multiple yeasrs) for participants in RJC interventions, as compared to those conventional process (respectively, Latimer, Dowden &amp; Muise, 2005 and Strang et al., 2013).[2]  </t>
    </r>
  </si>
  <si>
    <t>Calculations - Please do NOT change any values on this page!</t>
  </si>
  <si>
    <t>Metric</t>
  </si>
  <si>
    <t>Formula/Logic</t>
  </si>
  <si>
    <t>Harmed Party (HP) Value Impacts Total</t>
  </si>
  <si>
    <t>Number of HP per case</t>
  </si>
  <si>
    <t>Value from "Inputs" sheet</t>
  </si>
  <si>
    <t xml:space="preserve">Total HP Restituion Received vs. CJS Restitution Received </t>
  </si>
  <si>
    <t>Restitution does not include losses that would be paid by PA Victim Compensation Fund (to avoid duplication of benefit).</t>
  </si>
  <si>
    <t xml:space="preserve">% increase in RJC vs. CJS program restituion payments </t>
  </si>
  <si>
    <t>Total HP Restituion Received vs. CJS Restitution Received Value</t>
  </si>
  <si>
    <t>Number of HP per case*average restituion needed per harmed party*% increase in restitution payments</t>
  </si>
  <si>
    <t>Total HP Reduced Time in Court and Legal Proceedings</t>
  </si>
  <si>
    <t>Number of HP per case * ((avoided transportation expenses + avoided loss of income)*% difference in time and expense lost due to attending legal proceedings)</t>
  </si>
  <si>
    <t>This is the sum of the benefits and avoided costs in this section.</t>
  </si>
  <si>
    <t>Responsible Party Value Impacts Total</t>
  </si>
  <si>
    <t>Percent obtaining GED due to RJC program agreements</t>
  </si>
  <si>
    <t>Avg. increase in one year earnings with GED/continuing ed completion * percent of RJC participants obtaining GED/continuing ed due to program agreements</t>
  </si>
  <si>
    <t xml:space="preserve">Avoided RP expungement related earnings reductions				</t>
  </si>
  <si>
    <t>Percent increase in expungement follow through rate due to RJC program over CJS program</t>
  </si>
  <si>
    <t>Avoided decrease in earnings due to expungement * percent increase in expungement follow through rate from RJC program</t>
  </si>
  <si>
    <t xml:space="preserve">Avoided RP lost earnings </t>
  </si>
  <si>
    <t>Avoided loss of one year earnings due to RJC program vs. one year of being incarcerated</t>
  </si>
  <si>
    <t xml:space="preserve">Low Incarceration Rate Avoided RP lost earnings </t>
  </si>
  <si>
    <t>Avoided loss of one year earnings * percent of RP who would avoid one year incarceration sentences because of RJC program</t>
  </si>
  <si>
    <t xml:space="preserve">Medium Incarceration Rate Avoided RP lost earnings </t>
  </si>
  <si>
    <t xml:space="preserve">High Incarceration Rate Avoided RP lost earnings </t>
  </si>
  <si>
    <t>Low Incarceration Rate-Responsible Party Value Impacts Total</t>
  </si>
  <si>
    <t>Medium Incarceration Rate-Responsible Party Value Impacts Total</t>
  </si>
  <si>
    <t>High Incarceration Rate-Responsible Party Value Impacts Total</t>
  </si>
  <si>
    <t>Community Value Impacts Total</t>
  </si>
  <si>
    <t>Percentage of RP that complete community service hours as part of RJC agreements</t>
  </si>
  <si>
    <t>Community Service Hours Benefit Value</t>
  </si>
  <si>
    <t>Average hours of community service * Dollar value of community service/hour* % of RP that complete community service hours as part of agreements</t>
  </si>
  <si>
    <t>Increased Tax Revenue Benefit Due to RP Increased Employment and Earnings</t>
  </si>
  <si>
    <t>Average increase in one year earnings when GED/continuing ed obtained</t>
  </si>
  <si>
    <t>Percent RP obtaining GED due to RJC program agreements</t>
  </si>
  <si>
    <t>Avoided lost one year taxable earnings due to RJC program completion vs. one year of being incarcerated (federal minimum wage)</t>
  </si>
  <si>
    <t xml:space="preserve">Low Incarceration Rate-Tax Revenue Benefit Value </t>
  </si>
  <si>
    <t>((GED earnings increase * % obtaining GED)+(Expungement related earnings * % increase in expungement rate) +(Avoided one year lost earnings * LOW % of people avoiding one year of incarceration))* Tax rate</t>
  </si>
  <si>
    <t xml:space="preserve">Medium Incarceration Rate-Tax Revenue Benefit Value </t>
  </si>
  <si>
    <t>((GED earnings increase * % obtaining GED)+(Expungement related earnings * % increase in expungement rate) +(Avoided one year lost earnings * MEDIUM % of people avoiding one year of incarceration))* Tax rate</t>
  </si>
  <si>
    <r>
      <t>High Incarceration Rate-Tax Revenue Benefit Value</t>
    </r>
    <r>
      <rPr>
        <sz val="11"/>
        <color theme="1"/>
        <rFont val="Calibri"/>
        <family val="2"/>
      </rPr>
      <t xml:space="preserve"> </t>
    </r>
  </si>
  <si>
    <t>((GED earnings increase * % obtaining GED)+(Expungement related earnings * % increase in expungement rate) +(Avoided one year lost earnings * HIGH % of people avoiding one year of incarceration))* Tax rate</t>
  </si>
  <si>
    <t>Reduced Recidivism Rate Savings-Avoided Government Funds Spent on CJS Programs</t>
  </si>
  <si>
    <t>% Reduction in Recidivism with RJC Programs Compared To CJS Programs</t>
  </si>
  <si>
    <t>Cost of CJS Program Completion for Eligible Case Using LOW Sensitivity Value</t>
  </si>
  <si>
    <t>Cost of CJS Program Completion for Eligible Case Using MEDIUM Sensitivity Value</t>
  </si>
  <si>
    <t>Cost of CJS Program Completion for Eligible Case Using HIGH Sensitivity Value</t>
  </si>
  <si>
    <t>Low CJS Cost-Reduced Recidivism Benefit Value</t>
  </si>
  <si>
    <t>LOW Cost of CJS Program * % Reduction in Recidivism with RJC Programs</t>
  </si>
  <si>
    <t>Medium CJS Cost-Reduced Recidivism Benefit Value</t>
  </si>
  <si>
    <t>MEDIUM Cost of CJS Program * % Reduction in Recidivism with RJC Programs</t>
  </si>
  <si>
    <t>High CJS Cost-Reduced Recidivism Benefit Value</t>
  </si>
  <si>
    <t>HIGH Cost of CJS Program * % Reduction in Recidivism with RJC Programs</t>
  </si>
  <si>
    <t>Low Incarceration Rate and Low CJS Cost-Community Value Impacts Total</t>
  </si>
  <si>
    <t>Medium Incarceration Rate and Medium CJS Cost-Community Value Impacts Total</t>
  </si>
  <si>
    <t>High Incarceration Rate and High CJS Cost-Community Value Impacts Total</t>
  </si>
  <si>
    <t xml:space="preserve">Total RJC Benefits and Avoided Costs-Low Incarceration Rate and Low CJS Cost </t>
  </si>
  <si>
    <t>This is the sum of all benefits and avoided costs on this page.</t>
  </si>
  <si>
    <t xml:space="preserve">Total RJC Benefits and Avoided Costs-Medium Incarceration Rate and Medium CJS Cost </t>
  </si>
  <si>
    <t xml:space="preserve">Total RJC Benefits and Avoided Costs-High Incarceration Rate and High CJS Cost </t>
  </si>
  <si>
    <t xml:space="preserve">Impact Return on Investment (IROI) </t>
  </si>
  <si>
    <t>Calculations - Please do NOT change any values on this page.</t>
  </si>
  <si>
    <t xml:space="preserve">This page provides the impact return on investment (IROI) for RJC Diversion Programs. The results are posted immediately below in large font. </t>
  </si>
  <si>
    <t>The result number means that for every dollar invested in a RJC program, the IROI value is the benefit earned (i.e. investing $1 in RJC provides $4 in benefits because of program savings, benefits to stakeholders, and avoided costs.)</t>
  </si>
  <si>
    <t xml:space="preserve">Inputs and a step-by-step explanation of the IROI calculations are listed below. </t>
  </si>
  <si>
    <t>IROI Outputs</t>
  </si>
  <si>
    <t>Sensitivity Analysis</t>
  </si>
  <si>
    <t>Med</t>
  </si>
  <si>
    <t>Inputs Per Case</t>
  </si>
  <si>
    <t>Category</t>
  </si>
  <si>
    <t>Criminal Justice System (CJS) Program Cost LOW</t>
  </si>
  <si>
    <t>From "CJS Program Costs" sheet</t>
  </si>
  <si>
    <t>Criminal Justice System (CJS) Program Cost MEDIUM</t>
  </si>
  <si>
    <t>Criminal Justice System (CJS) Program Cost HIGH</t>
  </si>
  <si>
    <t>Restorative Justice Conferencing (RJC) Program Cost</t>
  </si>
  <si>
    <t>From "RJC Program Costs" sheet</t>
  </si>
  <si>
    <t>RJC vs. CJS Program Price Differences (Avoided cost by using RJC average cost instead of CJS)</t>
  </si>
  <si>
    <t>LOW Cost CJS Scenario Minus RJC Cost</t>
  </si>
  <si>
    <t>Price difference in programs (CJS cost - RJC cost)</t>
  </si>
  <si>
    <t>MEDIUM Cost CJS Scenario Minus RJC Cost</t>
  </si>
  <si>
    <t>HIGH Cost CJS Scenario Minus RJC Cost</t>
  </si>
  <si>
    <t xml:space="preserve">LOW Total RJC Benefits and Avoided Costs-Low Incarceration Rate and Low CJS Cost </t>
  </si>
  <si>
    <t>From "Cost and Benefit Calculations" sheet</t>
  </si>
  <si>
    <t xml:space="preserve">MEDIUM Total RJC Benefits and Avoided Costs-Medium Incarceration Rate and Medium CJS Cost </t>
  </si>
  <si>
    <t xml:space="preserve">HIGH Total RJC Benefits and Avoided Costs-High Incarceration Rate and High CJS Cost </t>
  </si>
  <si>
    <t>OVERALL BENEFIT: Price difference in programs (program savings) PLUS HP, community, and RP benefits and avoided costs</t>
  </si>
  <si>
    <t xml:space="preserve">LOW Cost CJS vs. RJC Price Difference (program savings) PLUS HP, community, and RP benefits and avoided costs  calculated using low incarceration rates and low CJS costs	</t>
  </si>
  <si>
    <t>Added price difference from applicable row immediately above to applicable row from Benefits and Avoided Costs.</t>
  </si>
  <si>
    <t>MEDIUM Cost CJS vs. RJC Price Difference (program savings) PLUS HP, community, and RP benefits and avoided costs calculated using medium incarceration rates and medium CJS costs</t>
  </si>
  <si>
    <t xml:space="preserve">HIGH Cost CJS vs. RJC Price Difference (program savings) PLUS HP, community, and RP benefits and avoided costs calculated using high incarceration rates and high CJS costs		</t>
  </si>
  <si>
    <t>IROI: TOTAL BENEFITS divided by the cost of the investment in RJC</t>
  </si>
  <si>
    <t>IROI SENSITIVITY - LOW</t>
  </si>
  <si>
    <t xml:space="preserve">Divided OVERALL BENEFIT from applicable row  in section directly above by the cost of a RJC Program. </t>
  </si>
  <si>
    <t>IROI SENSITIVITY - MEDIUM</t>
  </si>
  <si>
    <t>IROI SENSITIVITY - HIGH</t>
  </si>
  <si>
    <t xml:space="preserve">IROI - BY CATEGORY: Program Savings (MEDIUM); Harmed Party Benefits; Responsible Party Benefis; Community Benefits (1 year) 
</t>
  </si>
  <si>
    <t>IROI Progam Savings (Medium Sensitivity)</t>
  </si>
  <si>
    <t>Medium sensitivity Program Savings divided by cost of investment in RJC</t>
  </si>
  <si>
    <t>IROI Harmed Party Benefits</t>
  </si>
  <si>
    <t>HP Benefits from Cost and Benefit Calculations Sheet divided by cost of investment in RJC</t>
  </si>
  <si>
    <t>IROI Responsible Party Benefits</t>
  </si>
  <si>
    <t>Medium RP Benefits from Cost and Benefit Calculations Sheet divided by cost of investment in RJC</t>
  </si>
  <si>
    <t>IROI Community Benefits</t>
  </si>
  <si>
    <t>Medium Community Benefits (1 year) from Cost and Benefits Calculations Sheet divided by cost of investment in RJC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</si>
</sst>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164" formatCode="&quot;$&quot;#,##0"/>
    <numFmt numFmtId="165" formatCode="0.0%"/>
    <numFmt numFmtId="166" formatCode="&quot;$&quot;#,##0.00"/>
  </numFmts>
  <fonts count="57">
    <font>
      <sz val="11"/>
      <color theme="1"/>
      <name val="Calibri"/>
      <scheme val="minor"/>
    </font>
    <font>
      <sz val="11"/>
      <color theme="1"/>
      <name val="Calibri"/>
      <family val="2"/>
      <scheme val="minor"/>
    </font>
    <font>
      <sz val="16"/>
      <color theme="1"/>
      <name val="Calibri"/>
      <family val="2"/>
    </font>
    <font>
      <sz val="11"/>
      <color theme="1"/>
      <name val="Calibri"/>
      <family val="2"/>
    </font>
    <font>
      <b/>
      <sz val="11"/>
      <color theme="1"/>
      <name val="Calibri"/>
      <family val="2"/>
    </font>
    <font>
      <b/>
      <sz val="16"/>
      <color rgb="FF000000"/>
      <name val="Calibri"/>
      <family val="2"/>
    </font>
    <font>
      <sz val="11"/>
      <name val="Calibri"/>
      <family val="2"/>
    </font>
    <font>
      <sz val="11"/>
      <color rgb="FF000000"/>
      <name val="Calibri"/>
      <family val="2"/>
    </font>
    <font>
      <b/>
      <sz val="13"/>
      <color theme="1"/>
      <name val="Calibri"/>
      <family val="2"/>
    </font>
    <font>
      <b/>
      <i/>
      <sz val="12"/>
      <color theme="4"/>
      <name val="Calibri"/>
      <family val="2"/>
    </font>
    <font>
      <b/>
      <sz val="8"/>
      <color theme="1"/>
      <name val="Calibri"/>
      <family val="2"/>
    </font>
    <font>
      <sz val="8"/>
      <color theme="1"/>
      <name val="Calibri"/>
      <family val="2"/>
    </font>
    <font>
      <sz val="8"/>
      <color rgb="FF000000"/>
      <name val="Calibri"/>
      <family val="2"/>
    </font>
    <font>
      <sz val="8"/>
      <color theme="4"/>
      <name val="Calibri"/>
      <family val="2"/>
    </font>
    <font>
      <sz val="8"/>
      <color rgb="FF4472C4"/>
      <name val="Calibri"/>
      <family val="2"/>
    </font>
    <font>
      <u/>
      <sz val="8"/>
      <color theme="1"/>
      <name val="Calibri"/>
      <family val="2"/>
    </font>
    <font>
      <b/>
      <i/>
      <sz val="11"/>
      <color rgb="FF0000FF"/>
      <name val="Calibri"/>
      <family val="2"/>
    </font>
    <font>
      <u/>
      <sz val="8"/>
      <color theme="10"/>
      <name val="Calibri"/>
      <family val="2"/>
    </font>
    <font>
      <u/>
      <sz val="8"/>
      <color rgb="FF0563C1"/>
      <name val="Calibri"/>
      <family val="2"/>
    </font>
    <font>
      <sz val="8"/>
      <color theme="1"/>
      <name val="Calibri"/>
      <family val="2"/>
      <scheme val="minor"/>
    </font>
    <font>
      <sz val="8"/>
      <color rgb="FF000000"/>
      <name val="Arial"/>
      <family val="2"/>
    </font>
    <font>
      <b/>
      <sz val="8"/>
      <color theme="1"/>
      <name val="Aptos Narrow"/>
      <family val="2"/>
    </font>
    <font>
      <sz val="11"/>
      <color rgb="FF000000"/>
      <name val="Aptos Narrow"/>
      <family val="2"/>
    </font>
    <font>
      <b/>
      <i/>
      <sz val="11"/>
      <color theme="4"/>
      <name val="Calibri"/>
      <family val="2"/>
    </font>
    <font>
      <b/>
      <sz val="12"/>
      <color theme="1"/>
      <name val="Calibri"/>
      <family val="2"/>
    </font>
    <font>
      <b/>
      <sz val="14"/>
      <color theme="1"/>
      <name val="Calibri"/>
      <family val="2"/>
    </font>
    <font>
      <sz val="9"/>
      <color theme="1"/>
      <name val="Calibri"/>
      <family val="2"/>
    </font>
    <font>
      <b/>
      <sz val="14"/>
      <color rgb="FF000000"/>
      <name val="Calibri"/>
      <family val="2"/>
    </font>
    <font>
      <b/>
      <sz val="9"/>
      <color rgb="FF000000"/>
      <name val="Calibri"/>
      <family val="2"/>
    </font>
    <font>
      <b/>
      <i/>
      <sz val="11"/>
      <color rgb="FF4472C4"/>
      <name val="Calibri"/>
      <family val="2"/>
    </font>
    <font>
      <b/>
      <sz val="11"/>
      <color rgb="FF000000"/>
      <name val="Calibri"/>
      <family val="2"/>
    </font>
    <font>
      <b/>
      <sz val="12"/>
      <color rgb="FF000000"/>
      <name val="Calibri"/>
      <family val="2"/>
    </font>
    <font>
      <sz val="9"/>
      <color rgb="FF000000"/>
      <name val="Calibri"/>
      <family val="2"/>
    </font>
    <font>
      <sz val="12"/>
      <color rgb="FF000000"/>
      <name val="Calibri"/>
      <family val="2"/>
    </font>
    <font>
      <u/>
      <sz val="9"/>
      <color theme="10"/>
      <name val="Calibri"/>
      <family val="2"/>
    </font>
    <font>
      <u/>
      <sz val="9"/>
      <color rgb="FF0563C1"/>
      <name val="Calibri"/>
      <family val="2"/>
    </font>
    <font>
      <u/>
      <sz val="11"/>
      <color theme="10"/>
      <name val="Calibri"/>
      <family val="2"/>
    </font>
    <font>
      <sz val="10"/>
      <color theme="1"/>
      <name val="Calibri"/>
      <family val="2"/>
    </font>
    <font>
      <b/>
      <sz val="19"/>
      <color theme="1"/>
      <name val="Calibri"/>
      <family val="2"/>
    </font>
    <font>
      <b/>
      <sz val="24"/>
      <color rgb="FF000000"/>
      <name val="Calibri"/>
      <family val="2"/>
    </font>
    <font>
      <sz val="24"/>
      <color theme="1"/>
      <name val="Calibri"/>
      <family val="2"/>
    </font>
    <font>
      <b/>
      <sz val="16"/>
      <color theme="1"/>
      <name val="Calibri"/>
      <family val="2"/>
    </font>
    <font>
      <i/>
      <sz val="11"/>
      <color theme="1"/>
      <name val="Calibri"/>
      <family val="2"/>
    </font>
    <font>
      <b/>
      <i/>
      <sz val="10"/>
      <color theme="1"/>
      <name val="Calibri"/>
      <family val="2"/>
    </font>
    <font>
      <u/>
      <sz val="8"/>
      <color rgb="FF1155CC"/>
      <name val="Calibri"/>
      <family val="2"/>
    </font>
    <font>
      <sz val="8"/>
      <color theme="10"/>
      <name val="Calibri"/>
      <family val="2"/>
    </font>
    <font>
      <u/>
      <sz val="8"/>
      <color rgb="FF000000"/>
      <name val="Calibri"/>
      <family val="2"/>
    </font>
    <font>
      <u/>
      <sz val="9"/>
      <color rgb="FF1155CC"/>
      <name val="Calibri"/>
      <family val="2"/>
    </font>
    <font>
      <u/>
      <sz val="9"/>
      <color rgb="FF000000"/>
      <name val="Calibri"/>
      <family val="2"/>
    </font>
    <font>
      <i/>
      <sz val="11"/>
      <color rgb="FF000000"/>
      <name val="Calibri"/>
      <family val="2"/>
    </font>
    <font>
      <u/>
      <sz val="11"/>
      <color theme="10"/>
      <name val="Calibri"/>
      <scheme val="minor"/>
    </font>
    <font>
      <sz val="9"/>
      <color theme="1"/>
      <name val="Calibri"/>
      <family val="2"/>
      <scheme val="minor"/>
    </font>
    <font>
      <sz val="9"/>
      <color rgb="FF0563C1"/>
      <name val="Calibri"/>
      <family val="2"/>
      <scheme val="minor"/>
    </font>
    <font>
      <u/>
      <sz val="9"/>
      <color theme="10"/>
      <name val="Calibri"/>
      <family val="2"/>
      <scheme val="minor"/>
    </font>
    <font>
      <b/>
      <sz val="11"/>
      <color theme="1"/>
      <name val="Calibri"/>
      <family val="2"/>
      <scheme val="minor"/>
    </font>
    <font>
      <u/>
      <sz val="7"/>
      <color theme="10"/>
      <name val="Calibri"/>
      <family val="2"/>
      <scheme val="minor"/>
    </font>
    <font>
      <b/>
      <sz val="11"/>
      <name val="Calibri"/>
      <family val="2"/>
    </font>
  </fonts>
  <fills count="19">
    <fill>
      <patternFill patternType="none"/>
    </fill>
    <fill>
      <patternFill patternType="gray125"/>
    </fill>
    <fill>
      <patternFill patternType="solid">
        <fgColor rgb="FFBDD6EE"/>
        <bgColor rgb="FFBDD6EE"/>
      </patternFill>
    </fill>
    <fill>
      <patternFill patternType="solid">
        <fgColor rgb="FFE2EFD9"/>
        <bgColor rgb="FFE2EFD9"/>
      </patternFill>
    </fill>
    <fill>
      <patternFill patternType="solid">
        <fgColor theme="0"/>
        <bgColor theme="0"/>
      </patternFill>
    </fill>
    <fill>
      <patternFill patternType="solid">
        <fgColor rgb="FFFFFF00"/>
        <bgColor rgb="FFFFFF00"/>
      </patternFill>
    </fill>
    <fill>
      <patternFill patternType="solid">
        <fgColor rgb="FF9CC2E5"/>
        <bgColor rgb="FF9CC2E5"/>
      </patternFill>
    </fill>
    <fill>
      <patternFill patternType="solid">
        <fgColor rgb="FFBFBFBF"/>
        <bgColor rgb="FFBFBFBF"/>
      </patternFill>
    </fill>
    <fill>
      <patternFill patternType="solid">
        <fgColor rgb="FFFFFFFF"/>
        <bgColor rgb="FFFFFFFF"/>
      </patternFill>
    </fill>
    <fill>
      <patternFill patternType="solid">
        <fgColor rgb="FFFEF2CB"/>
        <bgColor rgb="FFFEF2CB"/>
      </patternFill>
    </fill>
    <fill>
      <patternFill patternType="solid">
        <fgColor rgb="FFD3D3D3"/>
        <bgColor rgb="FFD3D3D3"/>
      </patternFill>
    </fill>
    <fill>
      <patternFill patternType="solid">
        <fgColor theme="0"/>
        <bgColor rgb="FFA4C2F4"/>
      </patternFill>
    </fill>
    <fill>
      <patternFill patternType="solid">
        <fgColor theme="0"/>
        <bgColor indexed="64"/>
      </patternFill>
    </fill>
    <fill>
      <patternFill patternType="solid">
        <fgColor theme="9" tint="0.79998168889431442"/>
        <bgColor indexed="64"/>
      </patternFill>
    </fill>
    <fill>
      <patternFill patternType="solid">
        <fgColor theme="9" tint="0.79998168889431442"/>
        <bgColor rgb="FFE2EFD9"/>
      </patternFill>
    </fill>
    <fill>
      <patternFill patternType="solid">
        <fgColor theme="9" tint="0.79998168889431442"/>
        <bgColor theme="0"/>
      </patternFill>
    </fill>
    <fill>
      <patternFill patternType="solid">
        <fgColor theme="8" tint="0.59999389629810485"/>
        <bgColor theme="0"/>
      </patternFill>
    </fill>
    <fill>
      <patternFill patternType="solid">
        <fgColor theme="8" tint="0.59999389629810485"/>
        <bgColor indexed="64"/>
      </patternFill>
    </fill>
    <fill>
      <patternFill patternType="solid">
        <fgColor theme="0"/>
        <bgColor rgb="FFE2EFD9"/>
      </patternFill>
    </fill>
  </fills>
  <borders count="3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top/>
      <bottom/>
      <diagonal/>
    </border>
    <border>
      <left style="thin">
        <color rgb="FF262626"/>
      </left>
      <right/>
      <top style="thin">
        <color rgb="FF262626"/>
      </top>
      <bottom/>
      <diagonal/>
    </border>
    <border>
      <left/>
      <right/>
      <top style="thin">
        <color rgb="FF262626"/>
      </top>
      <bottom/>
      <diagonal/>
    </border>
    <border>
      <left/>
      <right style="thin">
        <color rgb="FF262626"/>
      </right>
      <top style="thin">
        <color rgb="FF262626"/>
      </top>
      <bottom/>
      <diagonal/>
    </border>
    <border>
      <left/>
      <right/>
      <top/>
      <bottom style="thin">
        <color rgb="FF000000"/>
      </bottom>
      <diagonal/>
    </border>
    <border>
      <left/>
      <right style="thin">
        <color rgb="FF000000"/>
      </right>
      <top/>
      <bottom/>
      <diagonal/>
    </border>
    <border>
      <left/>
      <right/>
      <top style="thin">
        <color rgb="FF000000"/>
      </top>
      <bottom/>
      <diagonal/>
    </border>
    <border>
      <left style="thin">
        <color rgb="FF000000"/>
      </left>
      <right/>
      <top/>
      <bottom/>
      <diagonal/>
    </border>
    <border>
      <left style="thin">
        <color rgb="FF262626"/>
      </left>
      <right/>
      <top style="thin">
        <color rgb="FF262626"/>
      </top>
      <bottom style="thin">
        <color rgb="FF262626"/>
      </bottom>
      <diagonal/>
    </border>
    <border>
      <left/>
      <right/>
      <top style="thin">
        <color rgb="FF262626"/>
      </top>
      <bottom style="thin">
        <color rgb="FF262626"/>
      </bottom>
      <diagonal/>
    </border>
    <border>
      <left/>
      <right style="thin">
        <color rgb="FF262626"/>
      </right>
      <top style="thin">
        <color rgb="FF262626"/>
      </top>
      <bottom style="thin">
        <color rgb="FF262626"/>
      </bottom>
      <diagonal/>
    </border>
    <border>
      <left style="thin">
        <color rgb="FF262626"/>
      </left>
      <right style="thin">
        <color rgb="FF262626"/>
      </right>
      <top style="thin">
        <color rgb="FF262626"/>
      </top>
      <bottom style="thin">
        <color rgb="FF262626"/>
      </bottom>
      <diagonal/>
    </border>
    <border>
      <left/>
      <right/>
      <top/>
      <bottom style="thin">
        <color rgb="FF262626"/>
      </bottom>
      <diagonal/>
    </border>
    <border>
      <left/>
      <right style="thin">
        <color rgb="FF262626"/>
      </right>
      <top/>
      <bottom style="thin">
        <color rgb="FF262626"/>
      </bottom>
      <diagonal/>
    </border>
    <border>
      <left style="thin">
        <color rgb="FF262626"/>
      </left>
      <right style="thin">
        <color rgb="FF262626"/>
      </right>
      <top style="thin">
        <color rgb="FF262626"/>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rgb="FF000000"/>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bottom style="thin">
        <color indexed="64"/>
      </bottom>
      <diagonal/>
    </border>
    <border>
      <left style="thin">
        <color rgb="FF262626"/>
      </left>
      <right style="thin">
        <color rgb="FF262626"/>
      </right>
      <top/>
      <bottom style="thin">
        <color rgb="FF262626"/>
      </bottom>
      <diagonal/>
    </border>
  </borders>
  <cellStyleXfs count="2">
    <xf numFmtId="0" fontId="0" fillId="0" borderId="0"/>
    <xf numFmtId="0" fontId="50" fillId="0" borderId="0" applyNumberFormat="0" applyFill="0" applyBorder="0" applyAlignment="0" applyProtection="0"/>
  </cellStyleXfs>
  <cellXfs count="430">
    <xf numFmtId="0" fontId="0" fillId="0" borderId="0" xfId="0"/>
    <xf numFmtId="0" fontId="2" fillId="2" borderId="1" xfId="0" applyFont="1" applyFill="1" applyBorder="1" applyAlignment="1">
      <alignment vertical="top" wrapText="1"/>
    </xf>
    <xf numFmtId="0" fontId="3" fillId="0" borderId="0" xfId="0" applyFont="1" applyAlignment="1">
      <alignment vertical="top"/>
    </xf>
    <xf numFmtId="0" fontId="3" fillId="3" borderId="0" xfId="0" applyFont="1" applyFill="1" applyAlignment="1">
      <alignment vertical="top" wrapText="1"/>
    </xf>
    <xf numFmtId="0" fontId="3" fillId="3" borderId="1" xfId="0" applyFont="1" applyFill="1" applyBorder="1" applyAlignment="1">
      <alignment vertical="top" wrapText="1"/>
    </xf>
    <xf numFmtId="0" fontId="3" fillId="3" borderId="2" xfId="0" applyFont="1" applyFill="1" applyBorder="1" applyAlignment="1">
      <alignment horizontal="center" vertical="top"/>
    </xf>
    <xf numFmtId="0" fontId="3" fillId="0" borderId="1" xfId="0" applyFont="1" applyBorder="1" applyAlignment="1">
      <alignment horizontal="center" vertical="top"/>
    </xf>
    <xf numFmtId="0" fontId="11" fillId="4" borderId="1" xfId="0" applyFont="1" applyFill="1" applyBorder="1" applyAlignment="1">
      <alignment horizontal="center" vertical="top"/>
    </xf>
    <xf numFmtId="0" fontId="11" fillId="4" borderId="1" xfId="0" applyFont="1" applyFill="1" applyBorder="1" applyAlignment="1">
      <alignment horizontal="center" vertical="top" wrapText="1"/>
    </xf>
    <xf numFmtId="0" fontId="11" fillId="0" borderId="0" xfId="0" applyFont="1" applyAlignment="1">
      <alignment vertical="top" wrapText="1"/>
    </xf>
    <xf numFmtId="0" fontId="11" fillId="0" borderId="1" xfId="0" applyFont="1" applyBorder="1" applyAlignment="1">
      <alignment vertical="top" wrapText="1"/>
    </xf>
    <xf numFmtId="6" fontId="3" fillId="0" borderId="3" xfId="0" applyNumberFormat="1" applyFont="1" applyBorder="1" applyAlignment="1">
      <alignment horizontal="center" vertical="top" wrapText="1"/>
    </xf>
    <xf numFmtId="0" fontId="11" fillId="0" borderId="3" xfId="0" applyFont="1" applyBorder="1" applyAlignment="1">
      <alignment horizontal="center" vertical="top" wrapText="1"/>
    </xf>
    <xf numFmtId="0" fontId="12" fillId="0" borderId="4" xfId="0" applyFont="1" applyBorder="1" applyAlignment="1">
      <alignment horizontal="center" vertical="top" wrapText="1"/>
    </xf>
    <xf numFmtId="0" fontId="11" fillId="0" borderId="0" xfId="0" applyFont="1" applyAlignment="1">
      <alignment horizontal="center" vertical="top" wrapText="1"/>
    </xf>
    <xf numFmtId="0" fontId="11" fillId="0" borderId="1" xfId="0" applyFont="1" applyBorder="1" applyAlignment="1">
      <alignment horizontal="center" vertical="top" wrapText="1"/>
    </xf>
    <xf numFmtId="0" fontId="11" fillId="0" borderId="3" xfId="0" applyFont="1" applyBorder="1" applyAlignment="1">
      <alignment vertical="top" wrapText="1"/>
    </xf>
    <xf numFmtId="0" fontId="12" fillId="0" borderId="3" xfId="0" applyFont="1" applyBorder="1" applyAlignment="1">
      <alignment vertical="top" wrapText="1"/>
    </xf>
    <xf numFmtId="164" fontId="13" fillId="0" borderId="1" xfId="0" applyNumberFormat="1" applyFont="1" applyBorder="1" applyAlignment="1">
      <alignment horizontal="center" vertical="top" wrapText="1"/>
    </xf>
    <xf numFmtId="164" fontId="13" fillId="0" borderId="0" xfId="0" applyNumberFormat="1" applyFont="1" applyAlignment="1">
      <alignment horizontal="center" vertical="top" wrapText="1"/>
    </xf>
    <xf numFmtId="9" fontId="13" fillId="0" borderId="1" xfId="0" applyNumberFormat="1" applyFont="1" applyBorder="1" applyAlignment="1">
      <alignment horizontal="center" vertical="top" wrapText="1"/>
    </xf>
    <xf numFmtId="9" fontId="13" fillId="0" borderId="0" xfId="0" applyNumberFormat="1" applyFont="1" applyAlignment="1">
      <alignment horizontal="center" vertical="top" wrapText="1"/>
    </xf>
    <xf numFmtId="0" fontId="15" fillId="0" borderId="5" xfId="0" applyFont="1" applyBorder="1" applyAlignment="1">
      <alignment horizontal="left" vertical="top" wrapText="1"/>
    </xf>
    <xf numFmtId="0" fontId="16" fillId="0" borderId="0" xfId="0" applyFont="1" applyAlignment="1">
      <alignment vertical="top" wrapText="1"/>
    </xf>
    <xf numFmtId="0" fontId="11" fillId="0" borderId="0" xfId="0" applyFont="1"/>
    <xf numFmtId="0" fontId="12" fillId="0" borderId="1" xfId="0" applyFont="1" applyBorder="1" applyAlignment="1">
      <alignment vertical="top" wrapText="1"/>
    </xf>
    <xf numFmtId="0" fontId="13" fillId="4" borderId="1" xfId="0" applyFont="1" applyFill="1" applyBorder="1" applyAlignment="1">
      <alignment horizontal="center" vertical="top" wrapText="1"/>
    </xf>
    <xf numFmtId="164" fontId="13" fillId="0" borderId="6" xfId="0" applyNumberFormat="1" applyFont="1" applyBorder="1" applyAlignment="1">
      <alignment horizontal="center" vertical="top" wrapText="1"/>
    </xf>
    <xf numFmtId="164" fontId="13" fillId="0" borderId="4" xfId="0" applyNumberFormat="1" applyFont="1" applyBorder="1" applyAlignment="1">
      <alignment horizontal="center" vertical="top" wrapText="1"/>
    </xf>
    <xf numFmtId="0" fontId="17" fillId="0" borderId="1" xfId="0" applyFont="1" applyBorder="1" applyAlignment="1">
      <alignment vertical="top" wrapText="1"/>
    </xf>
    <xf numFmtId="0" fontId="18" fillId="0" borderId="0" xfId="0" applyFont="1" applyAlignment="1">
      <alignment vertical="top" wrapText="1"/>
    </xf>
    <xf numFmtId="0" fontId="13" fillId="0" borderId="1" xfId="0" applyFont="1" applyBorder="1" applyAlignment="1">
      <alignment horizontal="center" vertical="top" wrapText="1"/>
    </xf>
    <xf numFmtId="0" fontId="19" fillId="0" borderId="0" xfId="0" applyFont="1"/>
    <xf numFmtId="164" fontId="13" fillId="4" borderId="6" xfId="0" applyNumberFormat="1" applyFont="1" applyFill="1" applyBorder="1" applyAlignment="1">
      <alignment horizontal="center" vertical="top" wrapText="1"/>
    </xf>
    <xf numFmtId="9" fontId="14" fillId="0" borderId="1" xfId="0" applyNumberFormat="1" applyFont="1" applyBorder="1" applyAlignment="1">
      <alignment horizontal="center" vertical="top" wrapText="1"/>
    </xf>
    <xf numFmtId="0" fontId="11" fillId="0" borderId="0" xfId="0" applyFont="1" applyAlignment="1">
      <alignment vertical="top"/>
    </xf>
    <xf numFmtId="0" fontId="13" fillId="5" borderId="6" xfId="0" applyFont="1" applyFill="1" applyBorder="1" applyAlignment="1">
      <alignment vertical="top" wrapText="1"/>
    </xf>
    <xf numFmtId="0" fontId="13" fillId="5" borderId="1" xfId="0" applyFont="1" applyFill="1" applyBorder="1" applyAlignment="1">
      <alignment vertical="top"/>
    </xf>
    <xf numFmtId="164" fontId="13" fillId="5" borderId="7" xfId="0" applyNumberFormat="1" applyFont="1" applyFill="1" applyBorder="1" applyAlignment="1">
      <alignment horizontal="center" vertical="top" wrapText="1"/>
    </xf>
    <xf numFmtId="164" fontId="13" fillId="5" borderId="1" xfId="0" applyNumberFormat="1" applyFont="1" applyFill="1" applyBorder="1" applyAlignment="1">
      <alignment horizontal="center" vertical="top" wrapText="1"/>
    </xf>
    <xf numFmtId="9" fontId="13" fillId="5" borderId="1" xfId="0" applyNumberFormat="1" applyFont="1" applyFill="1" applyBorder="1" applyAlignment="1">
      <alignment horizontal="center" vertical="top" wrapText="1"/>
    </xf>
    <xf numFmtId="0" fontId="11" fillId="5" borderId="1" xfId="0" applyFont="1" applyFill="1" applyBorder="1" applyAlignment="1">
      <alignment vertical="top" wrapText="1"/>
    </xf>
    <xf numFmtId="164" fontId="4" fillId="2" borderId="7" xfId="0" applyNumberFormat="1" applyFont="1" applyFill="1" applyBorder="1" applyAlignment="1">
      <alignment horizontal="center" vertical="top" wrapText="1"/>
    </xf>
    <xf numFmtId="164" fontId="4" fillId="2" borderId="8" xfId="0" applyNumberFormat="1" applyFont="1" applyFill="1" applyBorder="1" applyAlignment="1">
      <alignment horizontal="center" vertical="top" wrapText="1"/>
    </xf>
    <xf numFmtId="0" fontId="10" fillId="0" borderId="1" xfId="0" applyFont="1" applyBorder="1" applyAlignment="1">
      <alignment vertical="top" wrapText="1"/>
    </xf>
    <xf numFmtId="164" fontId="11" fillId="0" borderId="0" xfId="0" applyNumberFormat="1" applyFont="1" applyAlignment="1">
      <alignment horizontal="center" vertical="top" wrapText="1"/>
    </xf>
    <xf numFmtId="0" fontId="4" fillId="2" borderId="9" xfId="0" applyFont="1" applyFill="1" applyBorder="1" applyAlignment="1">
      <alignment horizontal="center" vertical="top" wrapText="1"/>
    </xf>
    <xf numFmtId="164" fontId="4" fillId="2" borderId="1" xfId="0" applyNumberFormat="1" applyFont="1" applyFill="1" applyBorder="1" applyAlignment="1">
      <alignment horizontal="center" vertical="top" wrapText="1"/>
    </xf>
    <xf numFmtId="0" fontId="3" fillId="3" borderId="1" xfId="0" applyFont="1" applyFill="1" applyBorder="1" applyAlignment="1">
      <alignment horizontal="center"/>
    </xf>
    <xf numFmtId="0" fontId="3" fillId="0" borderId="1" xfId="0" applyFont="1" applyBorder="1" applyAlignment="1">
      <alignment horizontal="center" wrapText="1"/>
    </xf>
    <xf numFmtId="0" fontId="12" fillId="0" borderId="1" xfId="0" applyFont="1" applyBorder="1" applyAlignment="1">
      <alignment horizontal="center" wrapText="1"/>
    </xf>
    <xf numFmtId="0" fontId="11" fillId="0" borderId="1" xfId="0" applyFont="1" applyBorder="1" applyAlignment="1">
      <alignment horizontal="center" wrapText="1"/>
    </xf>
    <xf numFmtId="0" fontId="3" fillId="4" borderId="1" xfId="0" applyFont="1" applyFill="1" applyBorder="1" applyAlignment="1">
      <alignment horizontal="center"/>
    </xf>
    <xf numFmtId="164" fontId="11" fillId="0" borderId="3" xfId="0" applyNumberFormat="1" applyFont="1" applyBorder="1" applyAlignment="1">
      <alignment horizontal="center" vertical="top" wrapText="1"/>
    </xf>
    <xf numFmtId="0" fontId="11" fillId="0" borderId="1" xfId="0" applyFont="1" applyBorder="1" applyAlignment="1">
      <alignment horizontal="left" vertical="top" wrapText="1"/>
    </xf>
    <xf numFmtId="9" fontId="11" fillId="0" borderId="1" xfId="0" applyNumberFormat="1" applyFont="1" applyBorder="1" applyAlignment="1">
      <alignment horizontal="left" vertical="top" wrapText="1"/>
    </xf>
    <xf numFmtId="164" fontId="11" fillId="0" borderId="1" xfId="0" applyNumberFormat="1" applyFont="1" applyBorder="1" applyAlignment="1">
      <alignment horizontal="center" vertical="top" wrapText="1"/>
    </xf>
    <xf numFmtId="0" fontId="11" fillId="0" borderId="1" xfId="0" applyFont="1" applyBorder="1" applyAlignment="1">
      <alignment horizontal="left" vertical="top"/>
    </xf>
    <xf numFmtId="0" fontId="11" fillId="0" borderId="1" xfId="0" applyFont="1" applyBorder="1" applyAlignment="1">
      <alignment vertical="top"/>
    </xf>
    <xf numFmtId="0" fontId="12" fillId="0" borderId="1" xfId="0" applyFont="1" applyBorder="1" applyAlignment="1">
      <alignment horizontal="center" vertical="top" wrapText="1"/>
    </xf>
    <xf numFmtId="164" fontId="12" fillId="0" borderId="1" xfId="0" applyNumberFormat="1" applyFont="1" applyBorder="1" applyAlignment="1">
      <alignment horizontal="center" vertical="top" wrapText="1"/>
    </xf>
    <xf numFmtId="0" fontId="20" fillId="0" borderId="1" xfId="0" applyFont="1" applyBorder="1" applyAlignment="1">
      <alignment vertical="top" wrapText="1"/>
    </xf>
    <xf numFmtId="0" fontId="10" fillId="0" borderId="1" xfId="0" applyFont="1" applyBorder="1" applyAlignment="1">
      <alignment horizontal="left" vertical="top" wrapText="1"/>
    </xf>
    <xf numFmtId="0" fontId="10" fillId="0" borderId="1" xfId="0" applyFont="1" applyBorder="1" applyAlignment="1">
      <alignment horizontal="center" vertical="top"/>
    </xf>
    <xf numFmtId="164" fontId="10" fillId="0" borderId="1" xfId="0" applyNumberFormat="1" applyFont="1" applyBorder="1" applyAlignment="1">
      <alignment horizontal="center" vertical="top"/>
    </xf>
    <xf numFmtId="0" fontId="11" fillId="4" borderId="1" xfId="0" applyFont="1" applyFill="1" applyBorder="1" applyAlignment="1">
      <alignment vertical="top" wrapText="1"/>
    </xf>
    <xf numFmtId="6" fontId="12" fillId="4" borderId="1" xfId="0" applyNumberFormat="1" applyFont="1" applyFill="1" applyBorder="1" applyAlignment="1">
      <alignment horizontal="center" vertical="top" wrapText="1"/>
    </xf>
    <xf numFmtId="9" fontId="11" fillId="4" borderId="1" xfId="0" applyNumberFormat="1" applyFont="1" applyFill="1" applyBorder="1" applyAlignment="1">
      <alignment horizontal="left" vertical="top" wrapText="1"/>
    </xf>
    <xf numFmtId="9" fontId="11" fillId="0" borderId="1" xfId="0" applyNumberFormat="1" applyFont="1" applyBorder="1" applyAlignment="1">
      <alignment horizontal="center" vertical="top"/>
    </xf>
    <xf numFmtId="0" fontId="11" fillId="0" borderId="3" xfId="0" applyFont="1" applyBorder="1" applyAlignment="1">
      <alignment horizontal="center" vertical="top"/>
    </xf>
    <xf numFmtId="164" fontId="11" fillId="0" borderId="3" xfId="0" applyNumberFormat="1" applyFont="1" applyBorder="1" applyAlignment="1">
      <alignment horizontal="center" vertical="top"/>
    </xf>
    <xf numFmtId="0" fontId="10" fillId="0" borderId="3" xfId="0" applyFont="1" applyBorder="1" applyAlignment="1">
      <alignment vertical="top" wrapText="1"/>
    </xf>
    <xf numFmtId="0" fontId="10" fillId="0" borderId="10" xfId="0" applyFont="1" applyBorder="1" applyAlignment="1">
      <alignment horizontal="center" vertical="top"/>
    </xf>
    <xf numFmtId="0" fontId="10" fillId="0" borderId="3" xfId="0" applyFont="1" applyBorder="1" applyAlignment="1">
      <alignment horizontal="center" vertical="top"/>
    </xf>
    <xf numFmtId="164" fontId="10" fillId="0" borderId="3" xfId="0" applyNumberFormat="1" applyFont="1" applyBorder="1" applyAlignment="1">
      <alignment horizontal="center" vertical="top"/>
    </xf>
    <xf numFmtId="0" fontId="3" fillId="0" borderId="1" xfId="0" applyFont="1" applyBorder="1" applyAlignment="1">
      <alignment vertical="top"/>
    </xf>
    <xf numFmtId="0" fontId="3" fillId="4" borderId="1" xfId="0" applyFont="1" applyFill="1" applyBorder="1" applyAlignment="1">
      <alignment vertical="top"/>
    </xf>
    <xf numFmtId="164" fontId="11" fillId="0" borderId="1" xfId="0" applyNumberFormat="1" applyFont="1" applyBorder="1" applyAlignment="1">
      <alignment horizontal="center" vertical="top"/>
    </xf>
    <xf numFmtId="165" fontId="11" fillId="5" borderId="11" xfId="0" applyNumberFormat="1" applyFont="1" applyFill="1" applyBorder="1" applyAlignment="1">
      <alignment horizontal="center" vertical="top"/>
    </xf>
    <xf numFmtId="164" fontId="11" fillId="0" borderId="0" xfId="0" applyNumberFormat="1" applyFont="1" applyAlignment="1">
      <alignment horizontal="center" vertical="top"/>
    </xf>
    <xf numFmtId="0" fontId="26" fillId="0" borderId="0" xfId="0" applyFont="1" applyAlignment="1">
      <alignment vertical="top" wrapText="1"/>
    </xf>
    <xf numFmtId="0" fontId="26" fillId="0" borderId="0" xfId="0" applyFont="1" applyAlignment="1">
      <alignment vertical="top"/>
    </xf>
    <xf numFmtId="0" fontId="4" fillId="3" borderId="2" xfId="0" applyFont="1" applyFill="1" applyBorder="1" applyAlignment="1">
      <alignment horizontal="left" vertical="top"/>
    </xf>
    <xf numFmtId="0" fontId="4" fillId="3" borderId="2" xfId="0" applyFont="1" applyFill="1" applyBorder="1" applyAlignment="1">
      <alignment horizontal="left" vertical="top" wrapText="1"/>
    </xf>
    <xf numFmtId="0" fontId="3" fillId="0" borderId="0" xfId="0" applyFont="1" applyAlignment="1">
      <alignment vertical="top" wrapText="1"/>
    </xf>
    <xf numFmtId="0" fontId="23" fillId="4" borderId="1" xfId="0" applyFont="1" applyFill="1" applyBorder="1" applyAlignment="1">
      <alignment horizontal="left" vertical="top" wrapText="1"/>
    </xf>
    <xf numFmtId="0" fontId="27" fillId="7" borderId="2" xfId="0" applyFont="1" applyFill="1" applyBorder="1" applyAlignment="1">
      <alignment horizontal="left" vertical="top"/>
    </xf>
    <xf numFmtId="0" fontId="27" fillId="7" borderId="2" xfId="0" applyFont="1" applyFill="1" applyBorder="1" applyAlignment="1">
      <alignment horizontal="left" vertical="top" wrapText="1"/>
    </xf>
    <xf numFmtId="0" fontId="27" fillId="7" borderId="5" xfId="0" applyFont="1" applyFill="1" applyBorder="1" applyAlignment="1">
      <alignment horizontal="left" vertical="top" wrapText="1"/>
    </xf>
    <xf numFmtId="0" fontId="28" fillId="4" borderId="2" xfId="0" applyFont="1" applyFill="1" applyBorder="1" applyAlignment="1">
      <alignment horizontal="left" vertical="top"/>
    </xf>
    <xf numFmtId="6" fontId="3" fillId="0" borderId="1" xfId="0" applyNumberFormat="1" applyFont="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26" fillId="4" borderId="1" xfId="0" applyFont="1" applyFill="1" applyBorder="1" applyAlignment="1">
      <alignment horizontal="left" vertical="top" wrapText="1"/>
    </xf>
    <xf numFmtId="0" fontId="28" fillId="4" borderId="1" xfId="0" applyFont="1" applyFill="1" applyBorder="1" applyAlignment="1">
      <alignment horizontal="left" vertical="top" wrapText="1"/>
    </xf>
    <xf numFmtId="0" fontId="26" fillId="0" borderId="1" xfId="0" applyFont="1" applyBorder="1" applyAlignment="1">
      <alignment horizontal="left" vertical="top" wrapText="1"/>
    </xf>
    <xf numFmtId="0" fontId="7" fillId="0" borderId="11" xfId="0" applyFont="1" applyBorder="1" applyAlignment="1">
      <alignment horizontal="left" vertical="top"/>
    </xf>
    <xf numFmtId="2" fontId="7" fillId="4" borderId="11" xfId="0" applyNumberFormat="1" applyFont="1" applyFill="1" applyBorder="1" applyAlignment="1">
      <alignment horizontal="left" vertical="top"/>
    </xf>
    <xf numFmtId="0" fontId="7" fillId="0" borderId="11" xfId="0" applyFont="1" applyBorder="1" applyAlignment="1">
      <alignment horizontal="left" vertical="top" wrapText="1"/>
    </xf>
    <xf numFmtId="6" fontId="7" fillId="0" borderId="11" xfId="0" applyNumberFormat="1" applyFont="1" applyBorder="1" applyAlignment="1">
      <alignment horizontal="left" vertical="top"/>
    </xf>
    <xf numFmtId="6" fontId="7" fillId="4" borderId="11" xfId="0" applyNumberFormat="1" applyFont="1" applyFill="1" applyBorder="1" applyAlignment="1">
      <alignment horizontal="left" vertical="top"/>
    </xf>
    <xf numFmtId="0" fontId="7" fillId="8" borderId="2" xfId="0" quotePrefix="1" applyFont="1" applyFill="1" applyBorder="1" applyAlignment="1">
      <alignment horizontal="left" vertical="top" wrapText="1"/>
    </xf>
    <xf numFmtId="164" fontId="7" fillId="0" borderId="1" xfId="0" applyNumberFormat="1" applyFont="1" applyBorder="1" applyAlignment="1">
      <alignment horizontal="left" vertical="top"/>
    </xf>
    <xf numFmtId="0" fontId="3" fillId="4" borderId="1" xfId="0" applyFont="1" applyFill="1" applyBorder="1" applyAlignment="1">
      <alignment horizontal="left" vertical="top" wrapText="1"/>
    </xf>
    <xf numFmtId="164" fontId="7" fillId="4" borderId="1" xfId="0" applyNumberFormat="1" applyFont="1" applyFill="1" applyBorder="1" applyAlignment="1">
      <alignment horizontal="left" vertical="top"/>
    </xf>
    <xf numFmtId="164" fontId="3" fillId="0" borderId="2" xfId="0" applyNumberFormat="1" applyFont="1" applyBorder="1" applyAlignment="1">
      <alignment horizontal="left" vertical="top"/>
    </xf>
    <xf numFmtId="164" fontId="3" fillId="4" borderId="2" xfId="0" applyNumberFormat="1" applyFont="1" applyFill="1" applyBorder="1" applyAlignment="1">
      <alignment horizontal="left" vertical="top"/>
    </xf>
    <xf numFmtId="9" fontId="3" fillId="0" borderId="2" xfId="0" applyNumberFormat="1" applyFont="1" applyBorder="1" applyAlignment="1">
      <alignment horizontal="left" vertical="top"/>
    </xf>
    <xf numFmtId="0" fontId="7" fillId="0" borderId="2" xfId="0" applyFont="1" applyBorder="1" applyAlignment="1">
      <alignment horizontal="left" vertical="top" wrapText="1"/>
    </xf>
    <xf numFmtId="0" fontId="32" fillId="4" borderId="2" xfId="0" applyFont="1" applyFill="1" applyBorder="1" applyAlignment="1">
      <alignment horizontal="left" vertical="top" wrapText="1"/>
    </xf>
    <xf numFmtId="0" fontId="7" fillId="4" borderId="1" xfId="0" applyFont="1" applyFill="1" applyBorder="1" applyAlignment="1">
      <alignment horizontal="left" vertical="top"/>
    </xf>
    <xf numFmtId="0" fontId="3" fillId="4" borderId="2" xfId="0" applyFont="1" applyFill="1" applyBorder="1" applyAlignment="1">
      <alignment horizontal="left" vertical="top" wrapText="1"/>
    </xf>
    <xf numFmtId="9" fontId="7" fillId="0" borderId="1" xfId="0" applyNumberFormat="1" applyFont="1" applyBorder="1" applyAlignment="1">
      <alignment horizontal="left" vertical="top"/>
    </xf>
    <xf numFmtId="0" fontId="31" fillId="4" borderId="6" xfId="0" applyFont="1" applyFill="1" applyBorder="1" applyAlignment="1">
      <alignment horizontal="left" vertical="top"/>
    </xf>
    <xf numFmtId="0" fontId="3" fillId="0" borderId="1" xfId="0" applyFont="1" applyBorder="1" applyAlignment="1">
      <alignment vertical="top" wrapText="1"/>
    </xf>
    <xf numFmtId="0" fontId="26" fillId="0" borderId="5" xfId="0" applyFont="1" applyBorder="1" applyAlignment="1">
      <alignment horizontal="left" vertical="top" wrapText="1"/>
    </xf>
    <xf numFmtId="9" fontId="7" fillId="4" borderId="1" xfId="0" applyNumberFormat="1" applyFont="1" applyFill="1" applyBorder="1" applyAlignment="1">
      <alignment horizontal="left" vertical="top"/>
    </xf>
    <xf numFmtId="0" fontId="4" fillId="4" borderId="1" xfId="0" applyFont="1" applyFill="1" applyBorder="1" applyAlignment="1">
      <alignment vertical="top" wrapText="1"/>
    </xf>
    <xf numFmtId="0" fontId="26" fillId="4" borderId="5" xfId="0" applyFont="1" applyFill="1" applyBorder="1" applyAlignment="1">
      <alignment horizontal="left" vertical="top" wrapText="1"/>
    </xf>
    <xf numFmtId="0" fontId="3" fillId="4" borderId="6" xfId="0" applyFont="1" applyFill="1" applyBorder="1" applyAlignment="1">
      <alignment horizontal="left" vertical="top" wrapText="1"/>
    </xf>
    <xf numFmtId="9" fontId="3" fillId="0" borderId="1" xfId="0" applyNumberFormat="1" applyFont="1" applyBorder="1" applyAlignment="1">
      <alignment horizontal="left" vertical="top"/>
    </xf>
    <xf numFmtId="10" fontId="3" fillId="0" borderId="1" xfId="0" applyNumberFormat="1" applyFont="1" applyBorder="1" applyAlignment="1">
      <alignment horizontal="left" vertical="top"/>
    </xf>
    <xf numFmtId="164" fontId="3" fillId="0" borderId="3" xfId="0" applyNumberFormat="1" applyFont="1" applyBorder="1" applyAlignment="1">
      <alignment horizontal="left" vertical="top"/>
    </xf>
    <xf numFmtId="0" fontId="3" fillId="0" borderId="3" xfId="0" applyFont="1" applyBorder="1" applyAlignment="1">
      <alignment horizontal="left" vertical="top" wrapText="1"/>
    </xf>
    <xf numFmtId="0" fontId="3" fillId="0" borderId="3" xfId="0" applyFont="1" applyBorder="1" applyAlignment="1">
      <alignment horizontal="left" vertical="top"/>
    </xf>
    <xf numFmtId="0" fontId="7" fillId="0" borderId="1" xfId="0" applyFont="1" applyBorder="1" applyAlignment="1">
      <alignment horizontal="left" vertical="top" wrapText="1"/>
    </xf>
    <xf numFmtId="0" fontId="26" fillId="0" borderId="3" xfId="0" applyFont="1" applyBorder="1" applyAlignment="1">
      <alignment horizontal="left" vertical="top" wrapText="1"/>
    </xf>
    <xf numFmtId="0" fontId="3" fillId="0" borderId="12" xfId="0" applyFont="1" applyBorder="1" applyAlignment="1">
      <alignment horizontal="left" vertical="top"/>
    </xf>
    <xf numFmtId="9" fontId="3" fillId="0" borderId="0" xfId="0" applyNumberFormat="1" applyFont="1" applyAlignment="1">
      <alignment horizontal="left" vertical="top" wrapText="1"/>
    </xf>
    <xf numFmtId="0" fontId="3" fillId="0" borderId="0" xfId="0" applyFont="1" applyAlignment="1">
      <alignment horizontal="left" vertical="top" wrapText="1"/>
    </xf>
    <xf numFmtId="0" fontId="26" fillId="3" borderId="1" xfId="0" applyFont="1" applyFill="1" applyBorder="1" applyAlignment="1">
      <alignment vertical="top" wrapText="1"/>
    </xf>
    <xf numFmtId="164" fontId="3" fillId="0" borderId="1" xfId="0" applyNumberFormat="1" applyFont="1" applyBorder="1" applyAlignment="1">
      <alignment horizontal="left" vertical="top" wrapText="1"/>
    </xf>
    <xf numFmtId="9" fontId="7" fillId="4" borderId="2" xfId="0" applyNumberFormat="1" applyFont="1" applyFill="1" applyBorder="1" applyAlignment="1">
      <alignment horizontal="left" vertical="top"/>
    </xf>
    <xf numFmtId="0" fontId="3" fillId="0" borderId="7" xfId="0" applyFont="1" applyBorder="1" applyAlignment="1">
      <alignment vertical="top" wrapText="1"/>
    </xf>
    <xf numFmtId="0" fontId="7" fillId="0" borderId="1" xfId="0" applyFont="1" applyBorder="1" applyAlignment="1">
      <alignment wrapText="1"/>
    </xf>
    <xf numFmtId="0" fontId="3" fillId="0" borderId="0" xfId="0" applyFont="1" applyAlignment="1">
      <alignment horizontal="left" vertical="top"/>
    </xf>
    <xf numFmtId="0" fontId="5" fillId="5" borderId="15" xfId="0" applyFont="1" applyFill="1" applyBorder="1" applyAlignment="1">
      <alignment vertical="center"/>
    </xf>
    <xf numFmtId="0" fontId="7" fillId="4" borderId="16" xfId="0" applyFont="1" applyFill="1" applyBorder="1" applyAlignment="1">
      <alignment vertical="top"/>
    </xf>
    <xf numFmtId="0" fontId="7" fillId="4" borderId="16" xfId="0" applyFont="1" applyFill="1" applyBorder="1" applyAlignment="1">
      <alignment vertical="top" wrapText="1"/>
    </xf>
    <xf numFmtId="0" fontId="7" fillId="4" borderId="17" xfId="0" applyFont="1" applyFill="1" applyBorder="1" applyAlignment="1">
      <alignment vertical="top" wrapText="1"/>
    </xf>
    <xf numFmtId="0" fontId="25" fillId="7" borderId="2" xfId="0" applyFont="1" applyFill="1" applyBorder="1" applyAlignment="1">
      <alignment vertical="top"/>
    </xf>
    <xf numFmtId="0" fontId="25" fillId="7" borderId="2" xfId="0" applyFont="1" applyFill="1" applyBorder="1" applyAlignment="1">
      <alignment vertical="top" wrapText="1"/>
    </xf>
    <xf numFmtId="0" fontId="4" fillId="0" borderId="1" xfId="0" applyFont="1" applyBorder="1" applyAlignment="1">
      <alignment vertical="top"/>
    </xf>
    <xf numFmtId="0" fontId="4" fillId="0" borderId="1" xfId="0" applyFont="1" applyBorder="1" applyAlignment="1">
      <alignment horizontal="center" vertical="top"/>
    </xf>
    <xf numFmtId="0" fontId="4" fillId="0" borderId="1" xfId="0" applyFont="1" applyBorder="1" applyAlignment="1">
      <alignment vertical="top" wrapText="1"/>
    </xf>
    <xf numFmtId="6" fontId="3" fillId="0" borderId="1" xfId="0" applyNumberFormat="1" applyFont="1" applyBorder="1" applyAlignment="1">
      <alignment horizontal="center" vertical="top"/>
    </xf>
    <xf numFmtId="0" fontId="37" fillId="0" borderId="1" xfId="0" applyFont="1" applyBorder="1" applyAlignment="1">
      <alignment vertical="top" wrapText="1"/>
    </xf>
    <xf numFmtId="0" fontId="4" fillId="3" borderId="2" xfId="0" applyFont="1" applyFill="1" applyBorder="1" applyAlignment="1">
      <alignment vertical="top"/>
    </xf>
    <xf numFmtId="6" fontId="4" fillId="3" borderId="2" xfId="0" applyNumberFormat="1" applyFont="1" applyFill="1" applyBorder="1" applyAlignment="1">
      <alignment horizontal="center" vertical="top"/>
    </xf>
    <xf numFmtId="0" fontId="3" fillId="3" borderId="2" xfId="0" applyFont="1" applyFill="1" applyBorder="1" applyAlignment="1">
      <alignment vertical="top" wrapText="1"/>
    </xf>
    <xf numFmtId="0" fontId="3" fillId="4" borderId="1" xfId="0" applyFont="1" applyFill="1" applyBorder="1" applyAlignment="1">
      <alignment horizontal="left" vertical="top"/>
    </xf>
    <xf numFmtId="6" fontId="3" fillId="4" borderId="2" xfId="0" applyNumberFormat="1" applyFont="1" applyFill="1" applyBorder="1" applyAlignment="1">
      <alignment horizontal="center" vertical="top"/>
    </xf>
    <xf numFmtId="0" fontId="3" fillId="4" borderId="2" xfId="0" applyFont="1" applyFill="1" applyBorder="1" applyAlignment="1">
      <alignment vertical="top" wrapText="1"/>
    </xf>
    <xf numFmtId="9" fontId="3" fillId="4" borderId="2" xfId="0" applyNumberFormat="1" applyFont="1" applyFill="1" applyBorder="1" applyAlignment="1">
      <alignment horizontal="center" vertical="top"/>
    </xf>
    <xf numFmtId="0" fontId="31" fillId="2" borderId="2" xfId="0" applyFont="1" applyFill="1" applyBorder="1" applyAlignment="1">
      <alignment horizontal="left" vertical="top"/>
    </xf>
    <xf numFmtId="6" fontId="31" fillId="2" borderId="2" xfId="0" applyNumberFormat="1" applyFont="1" applyFill="1" applyBorder="1" applyAlignment="1">
      <alignment horizontal="center" vertical="top"/>
    </xf>
    <xf numFmtId="164" fontId="7" fillId="4" borderId="6" xfId="0" applyNumberFormat="1" applyFont="1" applyFill="1" applyBorder="1" applyAlignment="1">
      <alignment horizontal="center" vertical="top"/>
    </xf>
    <xf numFmtId="9" fontId="7" fillId="4" borderId="6" xfId="0" applyNumberFormat="1" applyFont="1" applyFill="1" applyBorder="1" applyAlignment="1">
      <alignment horizontal="center" vertical="top"/>
    </xf>
    <xf numFmtId="0" fontId="3" fillId="3" borderId="11" xfId="0" applyFont="1" applyFill="1" applyBorder="1" applyAlignment="1">
      <alignment vertical="top" wrapText="1"/>
    </xf>
    <xf numFmtId="164" fontId="7" fillId="4" borderId="1" xfId="0" applyNumberFormat="1" applyFont="1" applyFill="1" applyBorder="1" applyAlignment="1">
      <alignment horizontal="center" vertical="top"/>
    </xf>
    <xf numFmtId="9" fontId="3" fillId="0" borderId="1" xfId="0" applyNumberFormat="1" applyFont="1" applyBorder="1" applyAlignment="1">
      <alignment horizontal="center" vertical="top"/>
    </xf>
    <xf numFmtId="164" fontId="3" fillId="0" borderId="3" xfId="0" applyNumberFormat="1" applyFont="1" applyBorder="1" applyAlignment="1">
      <alignment horizontal="center" vertical="top"/>
    </xf>
    <xf numFmtId="0" fontId="3" fillId="0" borderId="3" xfId="0" applyFont="1" applyBorder="1" applyAlignment="1">
      <alignment vertical="top" wrapText="1"/>
    </xf>
    <xf numFmtId="9" fontId="3" fillId="4" borderId="1" xfId="0" applyNumberFormat="1" applyFont="1" applyFill="1" applyBorder="1" applyAlignment="1">
      <alignment horizontal="center" vertical="top"/>
    </xf>
    <xf numFmtId="0" fontId="3" fillId="0" borderId="2" xfId="0" applyFont="1" applyBorder="1" applyAlignment="1">
      <alignment vertical="top" wrapText="1"/>
    </xf>
    <xf numFmtId="164" fontId="3" fillId="0" borderId="1" xfId="0" applyNumberFormat="1" applyFont="1" applyBorder="1" applyAlignment="1">
      <alignment horizontal="center" vertical="top"/>
    </xf>
    <xf numFmtId="10" fontId="3" fillId="0" borderId="1" xfId="0" applyNumberFormat="1" applyFont="1" applyBorder="1" applyAlignment="1">
      <alignment horizontal="center" vertical="top"/>
    </xf>
    <xf numFmtId="0" fontId="31" fillId="2" borderId="6" xfId="0" applyFont="1" applyFill="1" applyBorder="1" applyAlignment="1">
      <alignment horizontal="left" vertical="top"/>
    </xf>
    <xf numFmtId="0" fontId="25" fillId="5" borderId="0" xfId="0" applyFont="1" applyFill="1" applyAlignment="1">
      <alignment horizontal="center" vertical="center" wrapText="1"/>
    </xf>
    <xf numFmtId="2" fontId="40" fillId="3" borderId="1" xfId="0" applyNumberFormat="1" applyFont="1" applyFill="1" applyBorder="1" applyAlignment="1">
      <alignment horizontal="center" vertical="top" wrapText="1"/>
    </xf>
    <xf numFmtId="0" fontId="40" fillId="3" borderId="1" xfId="0" applyFont="1" applyFill="1" applyBorder="1" applyAlignment="1">
      <alignment horizontal="center" vertical="top"/>
    </xf>
    <xf numFmtId="0" fontId="41" fillId="2" borderId="22" xfId="0" applyFont="1" applyFill="1" applyBorder="1" applyAlignment="1">
      <alignment vertical="top"/>
    </xf>
    <xf numFmtId="0" fontId="41" fillId="2" borderId="23" xfId="0" applyFont="1" applyFill="1" applyBorder="1" applyAlignment="1">
      <alignment vertical="top"/>
    </xf>
    <xf numFmtId="0" fontId="41" fillId="2" borderId="24" xfId="0" applyFont="1" applyFill="1" applyBorder="1" applyAlignment="1">
      <alignment vertical="top" wrapText="1"/>
    </xf>
    <xf numFmtId="0" fontId="24" fillId="10" borderId="25" xfId="0" applyFont="1" applyFill="1" applyBorder="1" applyAlignment="1">
      <alignment vertical="top"/>
    </xf>
    <xf numFmtId="0" fontId="24" fillId="10" borderId="25" xfId="0" applyFont="1" applyFill="1" applyBorder="1" applyAlignment="1">
      <alignment horizontal="center" vertical="top"/>
    </xf>
    <xf numFmtId="0" fontId="24" fillId="10" borderId="25" xfId="0" applyFont="1" applyFill="1" applyBorder="1" applyAlignment="1">
      <alignment vertical="top" wrapText="1"/>
    </xf>
    <xf numFmtId="164" fontId="3" fillId="2" borderId="1" xfId="0" applyNumberFormat="1" applyFont="1" applyFill="1" applyBorder="1" applyAlignment="1">
      <alignment horizontal="center" vertical="top"/>
    </xf>
    <xf numFmtId="0" fontId="7" fillId="0" borderId="25" xfId="0" applyFont="1" applyBorder="1" applyAlignment="1">
      <alignment vertical="top" wrapText="1"/>
    </xf>
    <xf numFmtId="0" fontId="7" fillId="0" borderId="25" xfId="0" applyFont="1" applyBorder="1" applyAlignment="1">
      <alignment vertical="top"/>
    </xf>
    <xf numFmtId="164" fontId="7" fillId="2" borderId="25" xfId="0" applyNumberFormat="1" applyFont="1" applyFill="1" applyBorder="1" applyAlignment="1">
      <alignment horizontal="center" vertical="top"/>
    </xf>
    <xf numFmtId="164" fontId="7" fillId="2" borderId="28" xfId="0" applyNumberFormat="1" applyFont="1" applyFill="1" applyBorder="1" applyAlignment="1">
      <alignment horizontal="center" vertical="top"/>
    </xf>
    <xf numFmtId="0" fontId="3" fillId="3" borderId="2" xfId="0" applyFont="1" applyFill="1" applyBorder="1" applyAlignment="1">
      <alignment vertical="top"/>
    </xf>
    <xf numFmtId="164" fontId="4" fillId="3" borderId="2" xfId="0" applyNumberFormat="1" applyFont="1" applyFill="1" applyBorder="1" applyAlignment="1">
      <alignment horizontal="center" vertical="top"/>
    </xf>
    <xf numFmtId="0" fontId="3" fillId="4" borderId="1" xfId="0" applyFont="1" applyFill="1" applyBorder="1" applyAlignment="1">
      <alignment vertical="top" wrapText="1"/>
    </xf>
    <xf numFmtId="0" fontId="3" fillId="4" borderId="2" xfId="0" applyFont="1" applyFill="1" applyBorder="1" applyAlignment="1">
      <alignment vertical="top"/>
    </xf>
    <xf numFmtId="2" fontId="3" fillId="0" borderId="1" xfId="0" applyNumberFormat="1" applyFont="1" applyBorder="1" applyAlignment="1">
      <alignment horizontal="left" vertical="top" wrapText="1"/>
    </xf>
    <xf numFmtId="0" fontId="3" fillId="4" borderId="4" xfId="0" applyFont="1" applyFill="1" applyBorder="1" applyAlignment="1">
      <alignment horizontal="center" vertical="top" wrapText="1"/>
    </xf>
    <xf numFmtId="165" fontId="11" fillId="5" borderId="21" xfId="0" applyNumberFormat="1" applyFont="1" applyFill="1" applyBorder="1" applyAlignment="1">
      <alignment horizontal="center" vertical="top"/>
    </xf>
    <xf numFmtId="164" fontId="11" fillId="0" borderId="6" xfId="0" applyNumberFormat="1" applyFont="1" applyBorder="1" applyAlignment="1">
      <alignment horizontal="center" vertical="top"/>
    </xf>
    <xf numFmtId="164" fontId="11" fillId="0" borderId="14" xfId="0" applyNumberFormat="1" applyFont="1" applyBorder="1" applyAlignment="1">
      <alignment horizontal="center" vertical="top"/>
    </xf>
    <xf numFmtId="0" fontId="11" fillId="0" borderId="2" xfId="0" applyFont="1" applyBorder="1" applyAlignment="1">
      <alignment vertical="top"/>
    </xf>
    <xf numFmtId="0" fontId="11" fillId="0" borderId="29" xfId="0" applyFont="1" applyBorder="1" applyAlignment="1">
      <alignment vertical="top"/>
    </xf>
    <xf numFmtId="9" fontId="11" fillId="0" borderId="29" xfId="0" applyNumberFormat="1" applyFont="1" applyBorder="1" applyAlignment="1">
      <alignment horizontal="left" vertical="top" wrapText="1"/>
    </xf>
    <xf numFmtId="0" fontId="50" fillId="0" borderId="0" xfId="1" applyAlignment="1">
      <alignment wrapText="1"/>
    </xf>
    <xf numFmtId="0" fontId="7" fillId="0" borderId="21" xfId="0" applyFont="1" applyBorder="1" applyAlignment="1">
      <alignment horizontal="left" vertical="top" wrapText="1"/>
    </xf>
    <xf numFmtId="0" fontId="26" fillId="0" borderId="11" xfId="0" applyFont="1" applyBorder="1" applyAlignment="1">
      <alignment horizontal="left" vertical="top" wrapText="1"/>
    </xf>
    <xf numFmtId="0" fontId="52" fillId="0" borderId="29" xfId="0" applyFont="1" applyBorder="1" applyAlignment="1">
      <alignment wrapText="1"/>
    </xf>
    <xf numFmtId="0" fontId="53" fillId="4" borderId="5" xfId="1" applyFont="1" applyFill="1" applyBorder="1" applyAlignment="1">
      <alignment horizontal="left" vertical="top" wrapText="1"/>
    </xf>
    <xf numFmtId="0" fontId="36" fillId="0" borderId="12" xfId="0" applyFont="1" applyBorder="1" applyAlignment="1">
      <alignment horizontal="left" vertical="top" wrapText="1"/>
    </xf>
    <xf numFmtId="0" fontId="3" fillId="0" borderId="12" xfId="0" applyFont="1" applyBorder="1" applyAlignment="1">
      <alignment horizontal="left" vertical="top" wrapText="1"/>
    </xf>
    <xf numFmtId="0" fontId="34" fillId="4" borderId="10" xfId="0" applyFont="1" applyFill="1" applyBorder="1" applyAlignment="1">
      <alignment horizontal="left" vertical="top" wrapText="1"/>
    </xf>
    <xf numFmtId="0" fontId="26" fillId="0" borderId="29" xfId="0" applyFont="1" applyBorder="1" applyAlignment="1">
      <alignment horizontal="left" vertical="top" wrapText="1"/>
    </xf>
    <xf numFmtId="9" fontId="14" fillId="12" borderId="1" xfId="0" applyNumberFormat="1" applyFont="1" applyFill="1" applyBorder="1" applyAlignment="1">
      <alignment horizontal="center" vertical="top" wrapText="1"/>
    </xf>
    <xf numFmtId="0" fontId="11" fillId="12" borderId="1" xfId="0" applyFont="1" applyFill="1" applyBorder="1" applyAlignment="1">
      <alignment vertical="top" wrapText="1"/>
    </xf>
    <xf numFmtId="0" fontId="11" fillId="12" borderId="1" xfId="0" applyFont="1" applyFill="1" applyBorder="1" applyAlignment="1">
      <alignment horizontal="center" vertical="top" wrapText="1"/>
    </xf>
    <xf numFmtId="164" fontId="11" fillId="12" borderId="1" xfId="0" applyNumberFormat="1" applyFont="1" applyFill="1" applyBorder="1" applyAlignment="1">
      <alignment horizontal="center" vertical="top" wrapText="1"/>
    </xf>
    <xf numFmtId="0" fontId="12" fillId="12" borderId="1" xfId="0" applyFont="1" applyFill="1" applyBorder="1" applyAlignment="1">
      <alignment horizontal="center" vertical="top" wrapText="1"/>
    </xf>
    <xf numFmtId="164" fontId="12" fillId="12" borderId="1" xfId="0" applyNumberFormat="1" applyFont="1" applyFill="1" applyBorder="1" applyAlignment="1">
      <alignment horizontal="center" vertical="top" wrapText="1"/>
    </xf>
    <xf numFmtId="0" fontId="51" fillId="0" borderId="1" xfId="0" applyFont="1" applyBorder="1" applyAlignment="1">
      <alignment vertical="top"/>
    </xf>
    <xf numFmtId="0" fontId="19" fillId="0" borderId="1" xfId="0" applyFont="1" applyBorder="1" applyAlignment="1">
      <alignment vertical="top" wrapText="1"/>
    </xf>
    <xf numFmtId="0" fontId="3" fillId="0" borderId="11" xfId="0" applyFont="1" applyBorder="1" applyAlignment="1">
      <alignment horizontal="left" vertical="top" wrapText="1"/>
    </xf>
    <xf numFmtId="0" fontId="3" fillId="0" borderId="29" xfId="0" applyFont="1" applyBorder="1" applyAlignment="1">
      <alignment horizontal="left" vertical="top" wrapText="1"/>
    </xf>
    <xf numFmtId="9" fontId="3" fillId="0" borderId="7" xfId="0" applyNumberFormat="1" applyFont="1" applyBorder="1" applyAlignment="1">
      <alignment horizontal="left" vertical="top"/>
    </xf>
    <xf numFmtId="9" fontId="3" fillId="0" borderId="21" xfId="0" applyNumberFormat="1" applyFont="1" applyBorder="1" applyAlignment="1">
      <alignment horizontal="left" vertical="top"/>
    </xf>
    <xf numFmtId="9" fontId="0" fillId="0" borderId="29" xfId="0" applyNumberFormat="1" applyBorder="1" applyAlignment="1">
      <alignment horizontal="center"/>
    </xf>
    <xf numFmtId="9" fontId="0" fillId="0" borderId="29" xfId="0" applyNumberFormat="1" applyBorder="1" applyAlignment="1">
      <alignment horizontal="left" vertical="top"/>
    </xf>
    <xf numFmtId="9" fontId="3" fillId="0" borderId="6" xfId="0" applyNumberFormat="1" applyFont="1" applyBorder="1" applyAlignment="1">
      <alignment horizontal="left" vertical="top"/>
    </xf>
    <xf numFmtId="0" fontId="3" fillId="0" borderId="30" xfId="0" applyFont="1" applyBorder="1" applyAlignment="1">
      <alignment horizontal="left" vertical="top" wrapText="1"/>
    </xf>
    <xf numFmtId="0" fontId="35" fillId="0" borderId="19" xfId="0" applyFont="1" applyBorder="1" applyAlignment="1">
      <alignment horizontal="left" vertical="top" wrapText="1"/>
    </xf>
    <xf numFmtId="0" fontId="35" fillId="0" borderId="29" xfId="0" applyFont="1" applyBorder="1" applyAlignment="1">
      <alignment horizontal="left" vertical="top" wrapText="1"/>
    </xf>
    <xf numFmtId="0" fontId="51" fillId="0" borderId="29" xfId="0" applyFont="1" applyBorder="1" applyAlignment="1">
      <alignment wrapText="1"/>
    </xf>
    <xf numFmtId="0" fontId="3" fillId="0" borderId="2" xfId="0" applyFont="1" applyBorder="1" applyAlignment="1">
      <alignment horizontal="left" vertical="top" wrapText="1"/>
    </xf>
    <xf numFmtId="10" fontId="3" fillId="0" borderId="2" xfId="0" applyNumberFormat="1" applyFont="1" applyBorder="1" applyAlignment="1">
      <alignment horizontal="left" vertical="top"/>
    </xf>
    <xf numFmtId="9" fontId="3" fillId="0" borderId="29" xfId="0" applyNumberFormat="1" applyFont="1" applyBorder="1" applyAlignment="1">
      <alignment horizontal="left" vertical="top"/>
    </xf>
    <xf numFmtId="9" fontId="3" fillId="0" borderId="3" xfId="0" applyNumberFormat="1" applyFont="1" applyBorder="1" applyAlignment="1">
      <alignment horizontal="center" vertical="top"/>
    </xf>
    <xf numFmtId="0" fontId="3" fillId="13" borderId="2" xfId="0" applyFont="1" applyFill="1" applyBorder="1" applyAlignment="1">
      <alignment vertical="top" wrapText="1"/>
    </xf>
    <xf numFmtId="0" fontId="3" fillId="14" borderId="2" xfId="0" applyFont="1" applyFill="1" applyBorder="1" applyAlignment="1">
      <alignment vertical="top" wrapText="1"/>
    </xf>
    <xf numFmtId="164" fontId="31" fillId="2" borderId="14" xfId="0" applyNumberFormat="1" applyFont="1" applyFill="1" applyBorder="1" applyAlignment="1">
      <alignment horizontal="center" vertical="top" wrapText="1"/>
    </xf>
    <xf numFmtId="0" fontId="31" fillId="2" borderId="29" xfId="0" applyFont="1" applyFill="1" applyBorder="1" applyAlignment="1">
      <alignment horizontal="left" vertical="top" wrapText="1"/>
    </xf>
    <xf numFmtId="164" fontId="56" fillId="17" borderId="32" xfId="0" applyNumberFormat="1" applyFont="1" applyFill="1" applyBorder="1" applyAlignment="1">
      <alignment horizontal="center"/>
    </xf>
    <xf numFmtId="0" fontId="30" fillId="3" borderId="2" xfId="0" applyFont="1" applyFill="1" applyBorder="1" applyAlignment="1">
      <alignment horizontal="left" vertical="top"/>
    </xf>
    <xf numFmtId="0" fontId="4" fillId="3" borderId="11" xfId="0" applyFont="1" applyFill="1" applyBorder="1" applyAlignment="1">
      <alignment vertical="top" wrapText="1"/>
    </xf>
    <xf numFmtId="0" fontId="30" fillId="14" borderId="29" xfId="0" applyFont="1" applyFill="1" applyBorder="1" applyAlignment="1">
      <alignment horizontal="left" vertical="top"/>
    </xf>
    <xf numFmtId="166" fontId="4" fillId="15" borderId="13" xfId="0" applyNumberFormat="1" applyFont="1" applyFill="1" applyBorder="1" applyAlignment="1">
      <alignment horizontal="center" vertical="top"/>
    </xf>
    <xf numFmtId="0" fontId="4" fillId="13" borderId="2" xfId="0" applyFont="1" applyFill="1" applyBorder="1" applyAlignment="1">
      <alignment vertical="top" wrapText="1"/>
    </xf>
    <xf numFmtId="164" fontId="4" fillId="3" borderId="13" xfId="0" applyNumberFormat="1" applyFont="1" applyFill="1" applyBorder="1" applyAlignment="1">
      <alignment horizontal="center" vertical="top"/>
    </xf>
    <xf numFmtId="0" fontId="3" fillId="0" borderId="5" xfId="0" applyFont="1" applyBorder="1" applyAlignment="1">
      <alignment vertical="top" wrapText="1"/>
    </xf>
    <xf numFmtId="0" fontId="4" fillId="13" borderId="4" xfId="0" applyFont="1" applyFill="1" applyBorder="1" applyAlignment="1">
      <alignment horizontal="left" vertical="top" wrapText="1"/>
    </xf>
    <xf numFmtId="9" fontId="3" fillId="0" borderId="2" xfId="0" applyNumberFormat="1" applyFont="1" applyBorder="1" applyAlignment="1">
      <alignment horizontal="center" vertical="top"/>
    </xf>
    <xf numFmtId="166" fontId="4" fillId="13" borderId="29" xfId="0" applyNumberFormat="1" applyFont="1" applyFill="1" applyBorder="1" applyAlignment="1">
      <alignment horizontal="center" vertical="top"/>
    </xf>
    <xf numFmtId="0" fontId="3" fillId="0" borderId="29" xfId="0" applyFont="1" applyBorder="1" applyAlignment="1">
      <alignment vertical="top" wrapText="1"/>
    </xf>
    <xf numFmtId="0" fontId="3" fillId="0" borderId="2" xfId="0" applyFont="1" applyBorder="1" applyAlignment="1">
      <alignment vertical="top"/>
    </xf>
    <xf numFmtId="0" fontId="30" fillId="3" borderId="3" xfId="0" applyFont="1" applyFill="1" applyBorder="1" applyAlignment="1">
      <alignment horizontal="left" vertical="top" wrapText="1"/>
    </xf>
    <xf numFmtId="6" fontId="3" fillId="0" borderId="12" xfId="0" applyNumberFormat="1" applyFont="1" applyBorder="1" applyAlignment="1">
      <alignment horizontal="center" vertical="top"/>
    </xf>
    <xf numFmtId="6" fontId="0" fillId="0" borderId="0" xfId="0" applyNumberFormat="1" applyAlignment="1">
      <alignment horizontal="center"/>
    </xf>
    <xf numFmtId="164" fontId="4" fillId="3" borderId="4" xfId="0" applyNumberFormat="1" applyFont="1" applyFill="1" applyBorder="1" applyAlignment="1">
      <alignment horizontal="center" vertical="top" wrapText="1"/>
    </xf>
    <xf numFmtId="164" fontId="4" fillId="13" borderId="30" xfId="0" applyNumberFormat="1" applyFont="1" applyFill="1" applyBorder="1" applyAlignment="1">
      <alignment horizontal="center" vertical="top"/>
    </xf>
    <xf numFmtId="0" fontId="30" fillId="3" borderId="29" xfId="0" applyFont="1" applyFill="1" applyBorder="1" applyAlignment="1">
      <alignment horizontal="left" vertical="top" wrapText="1"/>
    </xf>
    <xf numFmtId="164" fontId="56" fillId="17" borderId="29" xfId="0" applyNumberFormat="1" applyFont="1" applyFill="1" applyBorder="1" applyAlignment="1">
      <alignment horizontal="center"/>
    </xf>
    <xf numFmtId="0" fontId="31" fillId="2" borderId="12" xfId="0" applyFont="1" applyFill="1" applyBorder="1" applyAlignment="1">
      <alignment horizontal="left" vertical="top"/>
    </xf>
    <xf numFmtId="164" fontId="31" fillId="2" borderId="11" xfId="0" applyNumberFormat="1" applyFont="1" applyFill="1" applyBorder="1" applyAlignment="1">
      <alignment horizontal="center" vertical="top"/>
    </xf>
    <xf numFmtId="0" fontId="54" fillId="17" borderId="29" xfId="0" applyFont="1" applyFill="1" applyBorder="1"/>
    <xf numFmtId="6" fontId="54" fillId="17" borderId="29" xfId="0" applyNumberFormat="1" applyFont="1" applyFill="1" applyBorder="1" applyAlignment="1">
      <alignment horizontal="center"/>
    </xf>
    <xf numFmtId="164" fontId="7" fillId="2" borderId="37" xfId="0" applyNumberFormat="1" applyFont="1" applyFill="1" applyBorder="1" applyAlignment="1">
      <alignment horizontal="center" vertical="top"/>
    </xf>
    <xf numFmtId="0" fontId="7" fillId="0" borderId="37" xfId="0" applyFont="1" applyBorder="1" applyAlignment="1">
      <alignment vertical="top" wrapText="1"/>
    </xf>
    <xf numFmtId="164" fontId="7" fillId="16" borderId="1" xfId="0" applyNumberFormat="1" applyFont="1" applyFill="1" applyBorder="1" applyAlignment="1">
      <alignment horizontal="center" vertical="top"/>
    </xf>
    <xf numFmtId="164" fontId="3" fillId="16" borderId="1" xfId="0" applyNumberFormat="1" applyFont="1" applyFill="1" applyBorder="1" applyAlignment="1">
      <alignment horizontal="center" vertical="top"/>
    </xf>
    <xf numFmtId="164" fontId="3" fillId="16" borderId="2" xfId="0" applyNumberFormat="1" applyFont="1" applyFill="1" applyBorder="1" applyAlignment="1">
      <alignment horizontal="center" vertical="top"/>
    </xf>
    <xf numFmtId="2" fontId="3" fillId="17" borderId="1" xfId="0" applyNumberFormat="1" applyFont="1" applyFill="1" applyBorder="1" applyAlignment="1">
      <alignment horizontal="center" vertical="top"/>
    </xf>
    <xf numFmtId="2" fontId="4" fillId="17" borderId="1" xfId="0" applyNumberFormat="1" applyFont="1" applyFill="1" applyBorder="1" applyAlignment="1">
      <alignment horizontal="center" vertical="top"/>
    </xf>
    <xf numFmtId="0" fontId="3" fillId="4" borderId="14" xfId="0" applyFont="1" applyFill="1" applyBorder="1" applyAlignment="1">
      <alignment horizontal="center" vertical="top"/>
    </xf>
    <xf numFmtId="0" fontId="3" fillId="0" borderId="0" xfId="0" applyFont="1" applyAlignment="1">
      <alignment horizontal="center" vertical="top"/>
    </xf>
    <xf numFmtId="0" fontId="0" fillId="0" borderId="0" xfId="0"/>
    <xf numFmtId="0" fontId="1" fillId="12" borderId="36" xfId="0" applyFont="1" applyFill="1" applyBorder="1" applyAlignment="1">
      <alignment wrapText="1"/>
    </xf>
    <xf numFmtId="0" fontId="1" fillId="12" borderId="29" xfId="0" applyFont="1" applyFill="1" applyBorder="1" applyAlignment="1">
      <alignment wrapText="1"/>
    </xf>
    <xf numFmtId="0" fontId="3" fillId="4" borderId="14" xfId="0" applyFont="1" applyFill="1" applyBorder="1" applyAlignment="1">
      <alignment horizontal="center" vertical="top"/>
    </xf>
    <xf numFmtId="0" fontId="3" fillId="0" borderId="29" xfId="0" applyFont="1" applyBorder="1" applyAlignment="1">
      <alignment horizontal="center" vertical="top"/>
    </xf>
    <xf numFmtId="0" fontId="7" fillId="3" borderId="4" xfId="0" applyFont="1" applyFill="1" applyBorder="1" applyAlignment="1">
      <alignment horizontal="left" vertical="top" wrapText="1"/>
    </xf>
    <xf numFmtId="0" fontId="7" fillId="3" borderId="29" xfId="0" applyFont="1" applyFill="1" applyBorder="1" applyAlignment="1">
      <alignment horizontal="left" vertical="top" wrapText="1"/>
    </xf>
    <xf numFmtId="0" fontId="3" fillId="9" borderId="29" xfId="0" applyFont="1" applyFill="1" applyBorder="1" applyAlignment="1">
      <alignment horizontal="center" vertical="top"/>
    </xf>
    <xf numFmtId="0" fontId="7" fillId="2" borderId="29" xfId="0" applyFont="1" applyFill="1" applyBorder="1" applyAlignment="1">
      <alignment horizontal="left" vertical="top" wrapText="1"/>
    </xf>
    <xf numFmtId="0" fontId="3" fillId="9" borderId="4" xfId="0" applyFont="1" applyFill="1" applyBorder="1" applyAlignment="1">
      <alignment horizontal="center" vertical="top"/>
    </xf>
    <xf numFmtId="0" fontId="7" fillId="2" borderId="33" xfId="0" applyFont="1" applyFill="1" applyBorder="1" applyAlignment="1">
      <alignment horizontal="left" vertical="top" wrapText="1"/>
    </xf>
    <xf numFmtId="0" fontId="7" fillId="2" borderId="5" xfId="0" applyFont="1" applyFill="1" applyBorder="1" applyAlignment="1">
      <alignment horizontal="left" vertical="top" wrapText="1"/>
    </xf>
    <xf numFmtId="0" fontId="7" fillId="2" borderId="34" xfId="0" applyFont="1" applyFill="1" applyBorder="1" applyAlignment="1">
      <alignment horizontal="left" vertical="top" wrapText="1"/>
    </xf>
    <xf numFmtId="0" fontId="7" fillId="2" borderId="35" xfId="0" applyFont="1" applyFill="1" applyBorder="1" applyAlignment="1">
      <alignment horizontal="left" vertical="top" wrapText="1"/>
    </xf>
    <xf numFmtId="0" fontId="7" fillId="4" borderId="21" xfId="0" applyFont="1" applyFill="1" applyBorder="1" applyAlignment="1">
      <alignment horizontal="center" vertical="top"/>
    </xf>
    <xf numFmtId="0" fontId="3" fillId="0" borderId="20" xfId="0" applyFont="1" applyBorder="1" applyAlignment="1">
      <alignment horizontal="center" vertical="top"/>
    </xf>
    <xf numFmtId="0" fontId="0" fillId="17" borderId="31" xfId="0" applyFill="1" applyBorder="1" applyAlignment="1">
      <alignment horizontal="left"/>
    </xf>
    <xf numFmtId="0" fontId="7" fillId="8" borderId="4" xfId="0" applyFont="1" applyFill="1" applyBorder="1" applyAlignment="1">
      <alignment horizontal="left" vertical="top"/>
    </xf>
    <xf numFmtId="0" fontId="7" fillId="2" borderId="6" xfId="0" applyFont="1" applyFill="1" applyBorder="1" applyAlignment="1">
      <alignment horizontal="left" vertical="top" wrapText="1"/>
    </xf>
    <xf numFmtId="0" fontId="3" fillId="0" borderId="0" xfId="0" applyFont="1" applyAlignment="1">
      <alignment horizontal="center" vertical="top"/>
    </xf>
    <xf numFmtId="0" fontId="7" fillId="18" borderId="15" xfId="0" applyFont="1" applyFill="1" applyBorder="1" applyAlignment="1">
      <alignment horizontal="center" vertical="top"/>
    </xf>
    <xf numFmtId="0" fontId="0" fillId="13" borderId="29" xfId="0" applyFill="1" applyBorder="1" applyAlignment="1">
      <alignment horizontal="center"/>
    </xf>
    <xf numFmtId="0" fontId="5" fillId="2" borderId="7" xfId="0" applyFont="1" applyFill="1" applyBorder="1" applyAlignment="1">
      <alignment horizontal="left" vertical="top" wrapText="1"/>
    </xf>
    <xf numFmtId="0" fontId="6" fillId="0" borderId="7" xfId="0" applyFont="1" applyBorder="1" applyAlignment="1"/>
    <xf numFmtId="0" fontId="3" fillId="4" borderId="14" xfId="0" applyFont="1" applyFill="1" applyBorder="1"/>
    <xf numFmtId="0" fontId="3" fillId="3" borderId="7" xfId="0" applyFont="1" applyFill="1" applyBorder="1" applyAlignment="1">
      <alignment horizontal="left" vertical="top" wrapText="1"/>
    </xf>
    <xf numFmtId="0" fontId="3" fillId="4" borderId="6" xfId="0" applyFont="1" applyFill="1" applyBorder="1" applyAlignment="1">
      <alignment horizontal="left" wrapText="1"/>
    </xf>
    <xf numFmtId="0" fontId="6" fillId="0" borderId="5" xfId="0" applyFont="1" applyBorder="1" applyAlignment="1"/>
    <xf numFmtId="0" fontId="3" fillId="3" borderId="12" xfId="0" applyFont="1" applyFill="1" applyBorder="1" applyAlignment="1">
      <alignment horizontal="left" vertical="top" wrapText="1"/>
    </xf>
    <xf numFmtId="0" fontId="6" fillId="0" borderId="20" xfId="0" applyFont="1" applyBorder="1" applyAlignment="1"/>
    <xf numFmtId="0" fontId="6" fillId="0" borderId="13" xfId="0" applyFont="1" applyBorder="1" applyAlignment="1"/>
    <xf numFmtId="0" fontId="7" fillId="4" borderId="6" xfId="0" applyFont="1" applyFill="1" applyBorder="1" applyAlignment="1">
      <alignment horizontal="left" wrapText="1"/>
    </xf>
    <xf numFmtId="0" fontId="3" fillId="3" borderId="6" xfId="0" applyFont="1" applyFill="1" applyBorder="1" applyAlignment="1">
      <alignment horizontal="left" vertical="top" wrapText="1"/>
    </xf>
    <xf numFmtId="0" fontId="7" fillId="3" borderId="6" xfId="0" applyFont="1" applyFill="1" applyBorder="1" applyAlignment="1">
      <alignment horizontal="left" vertical="top" wrapText="1"/>
    </xf>
    <xf numFmtId="0" fontId="3" fillId="4" borderId="14" xfId="0" applyFont="1" applyFill="1" applyBorder="1" applyAlignment="1">
      <alignment horizontal="left" wrapText="1"/>
    </xf>
    <xf numFmtId="0" fontId="3" fillId="4" borderId="12" xfId="0" applyFont="1" applyFill="1" applyBorder="1" applyAlignment="1">
      <alignment horizontal="center" wrapText="1"/>
    </xf>
    <xf numFmtId="0" fontId="8" fillId="3" borderId="6" xfId="0" applyFont="1" applyFill="1" applyBorder="1" applyAlignment="1">
      <alignment horizontal="center" vertical="top" wrapText="1"/>
    </xf>
    <xf numFmtId="0" fontId="3" fillId="3" borderId="12" xfId="0" applyFont="1" applyFill="1" applyBorder="1" applyAlignment="1">
      <alignment horizontal="center" vertical="top"/>
    </xf>
    <xf numFmtId="0" fontId="9" fillId="5" borderId="3" xfId="0" applyFont="1" applyFill="1" applyBorder="1" applyAlignment="1">
      <alignment horizontal="left" vertical="top" wrapText="1"/>
    </xf>
    <xf numFmtId="0" fontId="3" fillId="4" borderId="3" xfId="0" applyFont="1" applyFill="1" applyBorder="1" applyAlignment="1">
      <alignment horizontal="center" vertical="top" wrapText="1"/>
    </xf>
    <xf numFmtId="0" fontId="10" fillId="4" borderId="3" xfId="0" applyFont="1" applyFill="1" applyBorder="1" applyAlignment="1">
      <alignment horizontal="center" vertical="top" wrapText="1"/>
    </xf>
    <xf numFmtId="0" fontId="3" fillId="4" borderId="14" xfId="0" applyFont="1" applyFill="1" applyBorder="1" applyAlignment="1">
      <alignment horizontal="center" vertical="top" wrapText="1"/>
    </xf>
    <xf numFmtId="0" fontId="11" fillId="4" borderId="3" xfId="0" applyFont="1" applyFill="1" applyBorder="1" applyAlignment="1">
      <alignment horizontal="center" vertical="top" wrapText="1"/>
    </xf>
    <xf numFmtId="0" fontId="11" fillId="4" borderId="4" xfId="0" applyFont="1" applyFill="1" applyBorder="1" applyAlignment="1">
      <alignment horizontal="center" vertical="top" wrapText="1"/>
    </xf>
    <xf numFmtId="0" fontId="3" fillId="4" borderId="4" xfId="0" applyFont="1" applyFill="1" applyBorder="1" applyAlignment="1">
      <alignment horizontal="center" vertical="top"/>
    </xf>
    <xf numFmtId="0" fontId="6" fillId="0" borderId="18" xfId="0" applyFont="1" applyBorder="1" applyAlignment="1"/>
    <xf numFmtId="0" fontId="6" fillId="0" borderId="10" xfId="0" applyFont="1" applyBorder="1" applyAlignment="1"/>
    <xf numFmtId="0" fontId="3" fillId="4" borderId="4" xfId="0" applyFont="1" applyFill="1" applyBorder="1" applyAlignment="1">
      <alignment horizontal="center" vertical="top" wrapText="1"/>
    </xf>
    <xf numFmtId="0" fontId="3" fillId="4" borderId="21" xfId="0" applyFont="1" applyFill="1" applyBorder="1" applyAlignment="1">
      <alignment horizontal="center" vertical="top" wrapText="1"/>
    </xf>
    <xf numFmtId="0" fontId="6" fillId="0" borderId="14" xfId="0" applyFont="1" applyBorder="1" applyAlignment="1"/>
    <xf numFmtId="0" fontId="11" fillId="0" borderId="6" xfId="0" applyFont="1" applyBorder="1" applyAlignment="1">
      <alignment horizontal="center" vertical="top" wrapText="1"/>
    </xf>
    <xf numFmtId="0" fontId="11" fillId="0" borderId="19" xfId="0" applyFont="1" applyBorder="1" applyAlignment="1">
      <alignment vertical="top" wrapText="1"/>
    </xf>
    <xf numFmtId="0" fontId="13" fillId="0" borderId="3" xfId="0" applyFont="1" applyBorder="1" applyAlignment="1">
      <alignment horizontal="center" vertical="top" wrapText="1"/>
    </xf>
    <xf numFmtId="164" fontId="14" fillId="0" borderId="4" xfId="0" applyNumberFormat="1" applyFont="1" applyBorder="1" applyAlignment="1">
      <alignment horizontal="center" vertical="top" wrapText="1"/>
    </xf>
    <xf numFmtId="0" fontId="14" fillId="0" borderId="3" xfId="0" applyFont="1" applyBorder="1" applyAlignment="1">
      <alignment horizontal="center" vertical="top" wrapText="1"/>
    </xf>
    <xf numFmtId="164" fontId="13" fillId="4" borderId="4" xfId="0" applyNumberFormat="1" applyFont="1" applyFill="1" applyBorder="1" applyAlignment="1">
      <alignment horizontal="center" vertical="top" wrapText="1"/>
    </xf>
    <xf numFmtId="0" fontId="15" fillId="0" borderId="1" xfId="0" applyFont="1" applyBorder="1" applyAlignment="1">
      <alignment vertical="top" wrapText="1"/>
    </xf>
    <xf numFmtId="0" fontId="18" fillId="0" borderId="5" xfId="0" applyFont="1" applyBorder="1" applyAlignment="1">
      <alignment vertical="top" wrapText="1"/>
    </xf>
    <xf numFmtId="0" fontId="55" fillId="0" borderId="5" xfId="1" applyFont="1" applyBorder="1" applyAlignment="1">
      <alignment vertical="top" wrapText="1"/>
    </xf>
    <xf numFmtId="0" fontId="11" fillId="0" borderId="2" xfId="0" applyFont="1" applyBorder="1" applyAlignment="1">
      <alignment vertical="top" wrapText="1"/>
    </xf>
    <xf numFmtId="0" fontId="18" fillId="0" borderId="2" xfId="0" applyFont="1" applyBorder="1" applyAlignment="1">
      <alignment vertical="top" wrapText="1"/>
    </xf>
    <xf numFmtId="0" fontId="4" fillId="2" borderId="6" xfId="0" applyFont="1" applyFill="1" applyBorder="1" applyAlignment="1">
      <alignment horizontal="left" vertical="top" wrapText="1"/>
    </xf>
    <xf numFmtId="164" fontId="4" fillId="2" borderId="14" xfId="0" applyNumberFormat="1" applyFont="1" applyFill="1" applyBorder="1" applyAlignment="1">
      <alignment horizontal="center" vertical="top" wrapText="1"/>
    </xf>
    <xf numFmtId="0" fontId="4" fillId="2" borderId="4" xfId="0" applyFont="1" applyFill="1" applyBorder="1" applyAlignment="1">
      <alignment horizontal="center" vertical="top" wrapText="1"/>
    </xf>
    <xf numFmtId="0" fontId="4" fillId="3" borderId="6" xfId="0" applyFont="1" applyFill="1" applyBorder="1" applyAlignment="1">
      <alignment horizontal="left" vertical="top" wrapText="1"/>
    </xf>
    <xf numFmtId="0" fontId="3" fillId="3" borderId="4" xfId="0" applyFont="1" applyFill="1" applyBorder="1" applyAlignment="1">
      <alignment horizontal="left" vertical="top" wrapText="1"/>
    </xf>
    <xf numFmtId="0" fontId="8" fillId="3" borderId="12" xfId="0" applyFont="1" applyFill="1" applyBorder="1" applyAlignment="1">
      <alignment horizontal="center" wrapText="1"/>
    </xf>
    <xf numFmtId="0" fontId="1" fillId="0" borderId="1" xfId="0" applyFont="1" applyBorder="1" applyAlignment="1">
      <alignment vertical="top"/>
    </xf>
    <xf numFmtId="0" fontId="21" fillId="0" borderId="21" xfId="0" applyFont="1" applyBorder="1" applyAlignment="1">
      <alignment horizontal="left" vertical="top" wrapText="1"/>
    </xf>
    <xf numFmtId="0" fontId="11" fillId="0" borderId="11" xfId="0" applyFont="1" applyBorder="1" applyAlignment="1">
      <alignment horizontal="center" vertical="top"/>
    </xf>
    <xf numFmtId="0" fontId="10" fillId="0" borderId="11" xfId="0" applyFont="1" applyBorder="1" applyAlignment="1">
      <alignment horizontal="center" vertical="top"/>
    </xf>
    <xf numFmtId="164" fontId="10" fillId="0" borderId="11" xfId="0" applyNumberFormat="1" applyFont="1" applyBorder="1" applyAlignment="1">
      <alignment horizontal="center" vertical="top"/>
    </xf>
    <xf numFmtId="0" fontId="22" fillId="3" borderId="6" xfId="0" applyFont="1" applyFill="1" applyBorder="1" applyAlignment="1">
      <alignment horizontal="left" vertical="top" wrapText="1"/>
    </xf>
    <xf numFmtId="0" fontId="1" fillId="0" borderId="0" xfId="0" applyFont="1" applyAlignment="1">
      <alignment vertical="top"/>
    </xf>
    <xf numFmtId="0" fontId="4" fillId="3" borderId="6" xfId="0" applyFont="1" applyFill="1" applyBorder="1" applyAlignment="1">
      <alignment horizontal="left" vertical="top"/>
    </xf>
    <xf numFmtId="0" fontId="11" fillId="0" borderId="11" xfId="0" applyFont="1" applyBorder="1" applyAlignment="1">
      <alignment horizontal="center" vertical="top" wrapText="1"/>
    </xf>
    <xf numFmtId="0" fontId="11" fillId="0" borderId="21" xfId="0" applyFont="1" applyBorder="1" applyAlignment="1">
      <alignment horizontal="center" vertical="top" wrapText="1"/>
    </xf>
    <xf numFmtId="0" fontId="1" fillId="0" borderId="2" xfId="0" applyFont="1" applyBorder="1" applyAlignment="1">
      <alignment vertical="top"/>
    </xf>
    <xf numFmtId="0" fontId="23" fillId="5" borderId="3" xfId="0" applyFont="1" applyFill="1" applyBorder="1" applyAlignment="1">
      <alignment horizontal="left" vertical="top" wrapText="1"/>
    </xf>
    <xf numFmtId="0" fontId="1" fillId="0" borderId="29" xfId="0" applyFont="1" applyBorder="1" applyAlignment="1">
      <alignment vertical="top"/>
    </xf>
    <xf numFmtId="0" fontId="11" fillId="0" borderId="11" xfId="0" applyFont="1" applyBorder="1" applyAlignment="1">
      <alignment vertical="top"/>
    </xf>
    <xf numFmtId="164" fontId="11" fillId="0" borderId="6" xfId="0" applyNumberFormat="1" applyFont="1" applyBorder="1" applyAlignment="1">
      <alignment horizontal="center" vertical="top"/>
    </xf>
    <xf numFmtId="0" fontId="24" fillId="6" borderId="3" xfId="0" applyFont="1" applyFill="1" applyBorder="1" applyAlignment="1">
      <alignment vertical="top"/>
    </xf>
    <xf numFmtId="164" fontId="25" fillId="6" borderId="4" xfId="0" applyNumberFormat="1" applyFont="1" applyFill="1" applyBorder="1" applyAlignment="1">
      <alignment horizontal="center" vertical="top"/>
    </xf>
    <xf numFmtId="0" fontId="5" fillId="2" borderId="7" xfId="0" applyFont="1" applyFill="1" applyBorder="1" applyAlignment="1">
      <alignment horizontal="left" vertical="top"/>
    </xf>
    <xf numFmtId="0" fontId="28" fillId="7" borderId="13" xfId="0" applyFont="1" applyFill="1" applyBorder="1" applyAlignment="1">
      <alignment horizontal="left" vertical="top"/>
    </xf>
    <xf numFmtId="0" fontId="29" fillId="5" borderId="13" xfId="0" applyFont="1" applyFill="1" applyBorder="1" applyAlignment="1">
      <alignment horizontal="left" vertical="top" wrapText="1"/>
    </xf>
    <xf numFmtId="0" fontId="30" fillId="0" borderId="12" xfId="0" applyFont="1" applyBorder="1" applyAlignment="1">
      <alignment horizontal="left" vertical="top"/>
    </xf>
    <xf numFmtId="0" fontId="6" fillId="0" borderId="19" xfId="0" applyFont="1" applyBorder="1" applyAlignment="1"/>
    <xf numFmtId="0" fontId="28" fillId="4" borderId="14" xfId="0" applyFont="1" applyFill="1" applyBorder="1" applyAlignment="1">
      <alignment horizontal="left" vertical="top"/>
    </xf>
    <xf numFmtId="0" fontId="27" fillId="4" borderId="6" xfId="0" applyFont="1" applyFill="1" applyBorder="1" applyAlignment="1">
      <alignment horizontal="center" vertical="top"/>
    </xf>
    <xf numFmtId="0" fontId="30" fillId="0" borderId="6" xfId="0" applyFont="1" applyBorder="1" applyAlignment="1">
      <alignment horizontal="left" vertical="top"/>
    </xf>
    <xf numFmtId="0" fontId="31" fillId="4" borderId="21" xfId="0" applyFont="1" applyFill="1" applyBorder="1" applyAlignment="1">
      <alignment horizontal="center" vertical="top"/>
    </xf>
    <xf numFmtId="0" fontId="31" fillId="2" borderId="6" xfId="0" applyFont="1" applyFill="1" applyBorder="1" applyAlignment="1">
      <alignment horizontal="left" vertical="top"/>
    </xf>
    <xf numFmtId="0" fontId="28" fillId="4" borderId="14" xfId="0" applyFont="1" applyFill="1" applyBorder="1" applyAlignment="1">
      <alignment vertical="top"/>
    </xf>
    <xf numFmtId="0" fontId="32" fillId="0" borderId="19" xfId="0" applyFont="1" applyBorder="1" applyAlignment="1">
      <alignment horizontal="left" vertical="top" wrapText="1"/>
    </xf>
    <xf numFmtId="0" fontId="7" fillId="4" borderId="6" xfId="0" applyFont="1" applyFill="1" applyBorder="1" applyAlignment="1">
      <alignment horizontal="center" vertical="top"/>
    </xf>
    <xf numFmtId="0" fontId="33" fillId="3" borderId="4" xfId="0" applyFont="1" applyFill="1" applyBorder="1" applyAlignment="1">
      <alignment horizontal="left" vertical="top"/>
    </xf>
    <xf numFmtId="9" fontId="7" fillId="0" borderId="2" xfId="0" applyNumberFormat="1" applyFont="1" applyBorder="1" applyAlignment="1">
      <alignment horizontal="left" vertical="top"/>
    </xf>
    <xf numFmtId="9" fontId="7" fillId="0" borderId="6" xfId="0" applyNumberFormat="1" applyFont="1" applyBorder="1" applyAlignment="1">
      <alignment horizontal="center" vertical="top"/>
    </xf>
    <xf numFmtId="0" fontId="7" fillId="3" borderId="6" xfId="0" applyFont="1" applyFill="1" applyBorder="1" applyAlignment="1">
      <alignment horizontal="left" vertical="top"/>
    </xf>
    <xf numFmtId="0" fontId="26" fillId="3" borderId="14" xfId="0" applyFont="1" applyFill="1" applyBorder="1" applyAlignment="1">
      <alignment horizontal="left" vertical="top" wrapText="1"/>
    </xf>
    <xf numFmtId="0" fontId="34" fillId="4" borderId="13" xfId="0" applyFont="1" applyFill="1" applyBorder="1" applyAlignment="1">
      <alignment horizontal="left" vertical="top" wrapText="1"/>
    </xf>
    <xf numFmtId="0" fontId="3" fillId="0" borderId="6" xfId="0" applyFont="1" applyBorder="1" applyAlignment="1">
      <alignment horizontal="center" vertical="top"/>
    </xf>
    <xf numFmtId="0" fontId="34" fillId="4" borderId="1" xfId="0" applyFont="1" applyFill="1" applyBorder="1" applyAlignment="1">
      <alignment horizontal="left" vertical="top" wrapText="1"/>
    </xf>
    <xf numFmtId="0" fontId="7" fillId="3" borderId="12" xfId="0" applyFont="1" applyFill="1" applyBorder="1" applyAlignment="1">
      <alignment horizontal="left" vertical="top"/>
    </xf>
    <xf numFmtId="0" fontId="3" fillId="0" borderId="6" xfId="0" applyFont="1" applyBorder="1" applyAlignment="1">
      <alignment horizontal="left" vertical="top" wrapText="1"/>
    </xf>
    <xf numFmtId="0" fontId="34" fillId="0" borderId="1" xfId="0" applyFont="1" applyBorder="1" applyAlignment="1">
      <alignment vertical="top" wrapText="1"/>
    </xf>
    <xf numFmtId="0" fontId="3" fillId="0" borderId="14" xfId="0" applyFont="1" applyBorder="1" applyAlignment="1">
      <alignment vertical="top"/>
    </xf>
    <xf numFmtId="0" fontId="3" fillId="0" borderId="7" xfId="0" applyFont="1" applyBorder="1"/>
    <xf numFmtId="0" fontId="31" fillId="2" borderId="4" xfId="0" applyFont="1" applyFill="1" applyBorder="1" applyAlignment="1">
      <alignment horizontal="left" vertical="top"/>
    </xf>
    <xf numFmtId="0" fontId="3" fillId="0" borderId="0" xfId="0" applyFont="1"/>
    <xf numFmtId="0" fontId="34" fillId="0" borderId="13" xfId="0" applyFont="1" applyBorder="1" applyAlignment="1">
      <alignment horizontal="left" vertical="top" wrapText="1"/>
    </xf>
    <xf numFmtId="0" fontId="3" fillId="0" borderId="6" xfId="0" applyFont="1" applyBorder="1" applyAlignment="1">
      <alignment horizontal="left" vertical="top"/>
    </xf>
    <xf numFmtId="9" fontId="3" fillId="4" borderId="14" xfId="0" applyNumberFormat="1" applyFont="1" applyFill="1" applyBorder="1" applyAlignment="1">
      <alignment horizontal="left" vertical="top" wrapText="1"/>
    </xf>
    <xf numFmtId="0" fontId="34" fillId="0" borderId="0" xfId="0" applyFont="1" applyAlignment="1">
      <alignment horizontal="left" vertical="top" wrapText="1"/>
    </xf>
    <xf numFmtId="0" fontId="34" fillId="0" borderId="19" xfId="0" applyFont="1" applyBorder="1" applyAlignment="1">
      <alignment horizontal="left" vertical="top" wrapText="1"/>
    </xf>
    <xf numFmtId="10" fontId="3" fillId="0" borderId="2" xfId="0" applyNumberFormat="1" applyFont="1" applyBorder="1" applyAlignment="1">
      <alignment horizontal="left" vertical="top" wrapText="1"/>
    </xf>
    <xf numFmtId="0" fontId="7" fillId="4" borderId="12" xfId="0" applyFont="1" applyFill="1" applyBorder="1" applyAlignment="1">
      <alignment horizontal="left" vertical="top"/>
    </xf>
    <xf numFmtId="0" fontId="34" fillId="0" borderId="2" xfId="0" applyFont="1" applyBorder="1" applyAlignment="1">
      <alignment vertical="top" wrapText="1"/>
    </xf>
    <xf numFmtId="0" fontId="6" fillId="0" borderId="29" xfId="0" applyFont="1" applyBorder="1" applyAlignment="1"/>
    <xf numFmtId="0" fontId="35" fillId="11" borderId="5" xfId="0" applyFont="1" applyFill="1" applyBorder="1" applyAlignment="1">
      <alignment vertical="top" wrapText="1"/>
    </xf>
    <xf numFmtId="0" fontId="25" fillId="7" borderId="20" xfId="0" applyFont="1" applyFill="1" applyBorder="1" applyAlignment="1">
      <alignment horizontal="left" vertical="top"/>
    </xf>
    <xf numFmtId="0" fontId="30" fillId="9" borderId="6" xfId="0" applyFont="1" applyFill="1" applyBorder="1" applyAlignment="1">
      <alignment horizontal="center" vertical="top"/>
    </xf>
    <xf numFmtId="0" fontId="7" fillId="3" borderId="4" xfId="0" applyFont="1" applyFill="1" applyBorder="1" applyAlignment="1">
      <alignment horizontal="left" vertical="top"/>
    </xf>
    <xf numFmtId="0" fontId="4" fillId="4" borderId="6" xfId="0" applyFont="1" applyFill="1" applyBorder="1" applyAlignment="1">
      <alignment horizontal="center" vertical="top"/>
    </xf>
    <xf numFmtId="0" fontId="3" fillId="0" borderId="2" xfId="0" applyFont="1" applyBorder="1" applyAlignment="1">
      <alignment horizontal="left" vertical="top"/>
    </xf>
    <xf numFmtId="0" fontId="30" fillId="3" borderId="12" xfId="0" applyFont="1" applyFill="1" applyBorder="1" applyAlignment="1">
      <alignment vertical="top"/>
    </xf>
    <xf numFmtId="6" fontId="30" fillId="3" borderId="20" xfId="0" applyNumberFormat="1" applyFont="1" applyFill="1" applyBorder="1" applyAlignment="1">
      <alignment horizontal="center" vertical="top"/>
    </xf>
    <xf numFmtId="0" fontId="7" fillId="3" borderId="20" xfId="0" applyFont="1" applyFill="1" applyBorder="1" applyAlignment="1">
      <alignment vertical="top" wrapText="1"/>
    </xf>
    <xf numFmtId="0" fontId="30" fillId="3" borderId="13" xfId="0" applyFont="1" applyFill="1" applyBorder="1" applyAlignment="1">
      <alignment vertical="top" wrapText="1"/>
    </xf>
    <xf numFmtId="0" fontId="3" fillId="9" borderId="6" xfId="0" applyFont="1" applyFill="1" applyBorder="1" applyAlignment="1">
      <alignment horizontal="center" vertical="top"/>
    </xf>
    <xf numFmtId="0" fontId="31" fillId="2" borderId="6" xfId="0" applyFont="1" applyFill="1" applyBorder="1" applyAlignment="1">
      <alignment horizontal="left" vertical="top" wrapText="1"/>
    </xf>
    <xf numFmtId="0" fontId="3" fillId="4" borderId="6" xfId="0" applyFont="1" applyFill="1" applyBorder="1" applyAlignment="1">
      <alignment horizontal="center" vertical="top"/>
    </xf>
    <xf numFmtId="0" fontId="30" fillId="3" borderId="3" xfId="0" applyFont="1" applyFill="1" applyBorder="1" applyAlignment="1">
      <alignment horizontal="left" vertical="top"/>
    </xf>
    <xf numFmtId="164" fontId="4" fillId="3" borderId="3" xfId="0" applyNumberFormat="1" applyFont="1" applyFill="1" applyBorder="1" applyAlignment="1">
      <alignment horizontal="center" vertical="top"/>
    </xf>
    <xf numFmtId="0" fontId="4" fillId="3" borderId="3" xfId="0" applyFont="1" applyFill="1" applyBorder="1" applyAlignment="1">
      <alignment vertical="top" wrapText="1"/>
    </xf>
    <xf numFmtId="0" fontId="3" fillId="3" borderId="3" xfId="0" applyFont="1" applyFill="1" applyBorder="1" applyAlignment="1">
      <alignment vertical="top" wrapText="1"/>
    </xf>
    <xf numFmtId="164" fontId="30" fillId="3" borderId="3" xfId="0" applyNumberFormat="1" applyFont="1" applyFill="1" applyBorder="1" applyAlignment="1">
      <alignment horizontal="center" vertical="top"/>
    </xf>
    <xf numFmtId="0" fontId="7" fillId="3" borderId="3" xfId="0" applyFont="1" applyFill="1" applyBorder="1" applyAlignment="1">
      <alignment vertical="top" wrapText="1"/>
    </xf>
    <xf numFmtId="0" fontId="3" fillId="0" borderId="7" xfId="0" applyFont="1" applyBorder="1" applyAlignment="1">
      <alignment horizontal="center" vertical="top"/>
    </xf>
    <xf numFmtId="0" fontId="4" fillId="3" borderId="3" xfId="0" applyFont="1" applyFill="1" applyBorder="1" applyAlignment="1">
      <alignment horizontal="left" vertical="top" wrapText="1"/>
    </xf>
    <xf numFmtId="166" fontId="4" fillId="3" borderId="3" xfId="0" applyNumberFormat="1" applyFont="1" applyFill="1" applyBorder="1" applyAlignment="1">
      <alignment horizontal="center" vertical="top" wrapText="1"/>
    </xf>
    <xf numFmtId="0" fontId="7" fillId="3" borderId="12" xfId="0" applyFont="1" applyFill="1" applyBorder="1" applyAlignment="1">
      <alignment horizontal="left" vertical="top" wrapText="1"/>
    </xf>
    <xf numFmtId="0" fontId="3" fillId="0" borderId="5" xfId="0" applyFont="1" applyBorder="1" applyAlignment="1">
      <alignment vertical="top"/>
    </xf>
    <xf numFmtId="0" fontId="30" fillId="4" borderId="6" xfId="0" applyFont="1" applyFill="1" applyBorder="1" applyAlignment="1">
      <alignment horizontal="center" vertical="top" wrapText="1"/>
    </xf>
    <xf numFmtId="0" fontId="1" fillId="17" borderId="30" xfId="0" applyFont="1" applyFill="1" applyBorder="1" applyAlignment="1">
      <alignment horizontal="left"/>
    </xf>
    <xf numFmtId="0" fontId="38" fillId="2" borderId="6" xfId="0" applyFont="1" applyFill="1" applyBorder="1" applyAlignment="1">
      <alignment horizontal="left" vertical="top"/>
    </xf>
    <xf numFmtId="0" fontId="3" fillId="3" borderId="21" xfId="0" applyFont="1" applyFill="1" applyBorder="1" applyAlignment="1">
      <alignment horizontal="left" vertical="top" wrapText="1"/>
    </xf>
    <xf numFmtId="0" fontId="39" fillId="2" borderId="4" xfId="0" applyFont="1" applyFill="1" applyBorder="1" applyAlignment="1">
      <alignment horizontal="center" vertical="top"/>
    </xf>
    <xf numFmtId="0" fontId="31" fillId="4" borderId="21" xfId="0" applyFont="1" applyFill="1" applyBorder="1" applyAlignment="1">
      <alignment horizontal="left" vertical="top" wrapText="1"/>
    </xf>
    <xf numFmtId="0" fontId="39" fillId="2" borderId="6" xfId="0" applyFont="1" applyFill="1" applyBorder="1" applyAlignment="1">
      <alignment horizontal="center" vertical="top"/>
    </xf>
    <xf numFmtId="0" fontId="6" fillId="0" borderId="21" xfId="0" applyFont="1" applyBorder="1" applyAlignment="1"/>
    <xf numFmtId="2" fontId="40" fillId="3" borderId="3" xfId="0" applyNumberFormat="1" applyFont="1" applyFill="1" applyBorder="1" applyAlignment="1">
      <alignment horizontal="center" vertical="top" wrapText="1"/>
    </xf>
    <xf numFmtId="0" fontId="40" fillId="3" borderId="3" xfId="0" applyFont="1" applyFill="1" applyBorder="1" applyAlignment="1">
      <alignment horizontal="center" vertical="top"/>
    </xf>
    <xf numFmtId="0" fontId="0" fillId="0" borderId="0" xfId="0" applyAlignment="1"/>
    <xf numFmtId="0" fontId="3" fillId="3" borderId="26" xfId="0" applyFont="1" applyFill="1" applyBorder="1" applyAlignment="1">
      <alignment horizontal="center" vertical="top"/>
    </xf>
    <xf numFmtId="0" fontId="6" fillId="0" borderId="26" xfId="0" applyFont="1" applyBorder="1" applyAlignment="1"/>
    <xf numFmtId="0" fontId="6" fillId="0" borderId="27" xfId="0" applyFont="1" applyBorder="1" applyAlignment="1"/>
    <xf numFmtId="0" fontId="6" fillId="12" borderId="16" xfId="0" applyFont="1" applyFill="1" applyBorder="1" applyAlignment="1"/>
    <xf numFmtId="0" fontId="6" fillId="12" borderId="17" xfId="0" applyFont="1" applyFill="1" applyBorder="1" applyAlignment="1"/>
    <xf numFmtId="0" fontId="4" fillId="3" borderId="12" xfId="0" applyFont="1" applyFill="1" applyBorder="1" applyAlignment="1">
      <alignment horizontal="left" vertical="top"/>
    </xf>
    <xf numFmtId="0" fontId="1" fillId="0" borderId="0" xfId="0" applyFont="1"/>
    <xf numFmtId="0" fontId="3" fillId="4" borderId="12" xfId="0" applyFont="1" applyFill="1" applyBorder="1" applyAlignment="1">
      <alignment horizontal="center" vertical="top"/>
    </xf>
    <xf numFmtId="0" fontId="3" fillId="4" borderId="6" xfId="0" applyFont="1" applyFill="1" applyBorder="1" applyAlignment="1">
      <alignment horizontal="center" vertical="top" wrapText="1"/>
    </xf>
    <xf numFmtId="0" fontId="4" fillId="3" borderId="12" xfId="0" applyFont="1" applyFill="1" applyBorder="1" applyAlignment="1">
      <alignment horizontal="left" vertical="top" wrapText="1"/>
    </xf>
    <xf numFmtId="2" fontId="1"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xdr:col>
      <xdr:colOff>123825</xdr:colOff>
      <xdr:row>9</xdr:row>
      <xdr:rowOff>85725</xdr:rowOff>
    </xdr:from>
    <xdr:ext cx="523875" cy="581025"/>
    <xdr:sp macro="" textlink="">
      <xdr:nvSpPr>
        <xdr:cNvPr id="3" name="Shape 3">
          <a:extLst>
            <a:ext uri="{FF2B5EF4-FFF2-40B4-BE49-F238E27FC236}">
              <a16:creationId xmlns:a16="http://schemas.microsoft.com/office/drawing/2014/main" id="{00000000-0008-0000-0100-000003000000}"/>
            </a:ext>
          </a:extLst>
        </xdr:cNvPr>
        <xdr:cNvSpPr/>
      </xdr:nvSpPr>
      <xdr:spPr>
        <a:xfrm>
          <a:off x="5088825" y="3494250"/>
          <a:ext cx="514350" cy="571500"/>
        </a:xfrm>
        <a:prstGeom prst="downArrow">
          <a:avLst>
            <a:gd name="adj1" fmla="val 50000"/>
            <a:gd name="adj2" fmla="val 50000"/>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104775</xdr:colOff>
      <xdr:row>9</xdr:row>
      <xdr:rowOff>95250</xdr:rowOff>
    </xdr:from>
    <xdr:ext cx="523875" cy="581025"/>
    <xdr:sp macro="" textlink="">
      <xdr:nvSpPr>
        <xdr:cNvPr id="2" name="Shape 3">
          <a:extLst>
            <a:ext uri="{FF2B5EF4-FFF2-40B4-BE49-F238E27FC236}">
              <a16:creationId xmlns:a16="http://schemas.microsoft.com/office/drawing/2014/main" id="{00000000-0008-0000-0100-000002000000}"/>
            </a:ext>
          </a:extLst>
        </xdr:cNvPr>
        <xdr:cNvSpPr/>
      </xdr:nvSpPr>
      <xdr:spPr>
        <a:xfrm>
          <a:off x="5088825" y="3494250"/>
          <a:ext cx="514350" cy="571500"/>
        </a:xfrm>
        <a:prstGeom prst="downArrow">
          <a:avLst>
            <a:gd name="adj1" fmla="val 50000"/>
            <a:gd name="adj2" fmla="val 50000"/>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5</xdr:col>
      <xdr:colOff>28575</xdr:colOff>
      <xdr:row>9</xdr:row>
      <xdr:rowOff>85725</xdr:rowOff>
    </xdr:from>
    <xdr:ext cx="523875" cy="581025"/>
    <xdr:sp macro="" textlink="">
      <xdr:nvSpPr>
        <xdr:cNvPr id="4" name="Shape 3">
          <a:extLst>
            <a:ext uri="{FF2B5EF4-FFF2-40B4-BE49-F238E27FC236}">
              <a16:creationId xmlns:a16="http://schemas.microsoft.com/office/drawing/2014/main" id="{00000000-0008-0000-0100-000004000000}"/>
            </a:ext>
          </a:extLst>
        </xdr:cNvPr>
        <xdr:cNvSpPr/>
      </xdr:nvSpPr>
      <xdr:spPr>
        <a:xfrm>
          <a:off x="5088825" y="3494250"/>
          <a:ext cx="514350" cy="571500"/>
        </a:xfrm>
        <a:prstGeom prst="downArrow">
          <a:avLst>
            <a:gd name="adj1" fmla="val 50000"/>
            <a:gd name="adj2" fmla="val 50000"/>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xdr:col>
      <xdr:colOff>19050</xdr:colOff>
      <xdr:row>9</xdr:row>
      <xdr:rowOff>85725</xdr:rowOff>
    </xdr:from>
    <xdr:ext cx="523875" cy="581025"/>
    <xdr:sp macro="" textlink="">
      <xdr:nvSpPr>
        <xdr:cNvPr id="5" name="Shape 3">
          <a:extLst>
            <a:ext uri="{FF2B5EF4-FFF2-40B4-BE49-F238E27FC236}">
              <a16:creationId xmlns:a16="http://schemas.microsoft.com/office/drawing/2014/main" id="{00000000-0008-0000-0100-000005000000}"/>
            </a:ext>
          </a:extLst>
        </xdr:cNvPr>
        <xdr:cNvSpPr/>
      </xdr:nvSpPr>
      <xdr:spPr>
        <a:xfrm>
          <a:off x="5088825" y="3494250"/>
          <a:ext cx="514350" cy="571500"/>
        </a:xfrm>
        <a:prstGeom prst="downArrow">
          <a:avLst>
            <a:gd name="adj1" fmla="val 50000"/>
            <a:gd name="adj2" fmla="val 50000"/>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xdr:col>
      <xdr:colOff>561975</xdr:colOff>
      <xdr:row>9</xdr:row>
      <xdr:rowOff>85725</xdr:rowOff>
    </xdr:from>
    <xdr:ext cx="523875" cy="581025"/>
    <xdr:sp macro="" textlink="">
      <xdr:nvSpPr>
        <xdr:cNvPr id="6" name="Shape 3">
          <a:extLst>
            <a:ext uri="{FF2B5EF4-FFF2-40B4-BE49-F238E27FC236}">
              <a16:creationId xmlns:a16="http://schemas.microsoft.com/office/drawing/2014/main" id="{00000000-0008-0000-0100-000006000000}"/>
            </a:ext>
          </a:extLst>
        </xdr:cNvPr>
        <xdr:cNvSpPr/>
      </xdr:nvSpPr>
      <xdr:spPr>
        <a:xfrm>
          <a:off x="5088825" y="3494250"/>
          <a:ext cx="514350" cy="571500"/>
        </a:xfrm>
        <a:prstGeom prst="downArrow">
          <a:avLst>
            <a:gd name="adj1" fmla="val 50000"/>
            <a:gd name="adj2" fmla="val 50000"/>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276225</xdr:colOff>
      <xdr:row>37</xdr:row>
      <xdr:rowOff>123825</xdr:rowOff>
    </xdr:from>
    <xdr:ext cx="523875" cy="581025"/>
    <xdr:sp macro="" textlink="">
      <xdr:nvSpPr>
        <xdr:cNvPr id="3" name="Shape 3">
          <a:extLst>
            <a:ext uri="{FF2B5EF4-FFF2-40B4-BE49-F238E27FC236}">
              <a16:creationId xmlns:a16="http://schemas.microsoft.com/office/drawing/2014/main" id="{00000000-0008-0000-0200-000003000000}"/>
            </a:ext>
          </a:extLst>
        </xdr:cNvPr>
        <xdr:cNvSpPr/>
      </xdr:nvSpPr>
      <xdr:spPr>
        <a:xfrm>
          <a:off x="5088825" y="3494250"/>
          <a:ext cx="514350" cy="571500"/>
        </a:xfrm>
        <a:prstGeom prst="downArrow">
          <a:avLst>
            <a:gd name="adj1" fmla="val 50000"/>
            <a:gd name="adj2" fmla="val 50000"/>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133350</xdr:colOff>
      <xdr:row>37</xdr:row>
      <xdr:rowOff>123825</xdr:rowOff>
    </xdr:from>
    <xdr:ext cx="523875" cy="581025"/>
    <xdr:sp macro="" textlink="">
      <xdr:nvSpPr>
        <xdr:cNvPr id="2" name="Shape 3">
          <a:extLst>
            <a:ext uri="{FF2B5EF4-FFF2-40B4-BE49-F238E27FC236}">
              <a16:creationId xmlns:a16="http://schemas.microsoft.com/office/drawing/2014/main" id="{00000000-0008-0000-0200-000002000000}"/>
            </a:ext>
          </a:extLst>
        </xdr:cNvPr>
        <xdr:cNvSpPr/>
      </xdr:nvSpPr>
      <xdr:spPr>
        <a:xfrm>
          <a:off x="5088825" y="3494250"/>
          <a:ext cx="514350" cy="571500"/>
        </a:xfrm>
        <a:prstGeom prst="downArrow">
          <a:avLst>
            <a:gd name="adj1" fmla="val 50000"/>
            <a:gd name="adj2" fmla="val 50000"/>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285750</xdr:colOff>
      <xdr:row>37</xdr:row>
      <xdr:rowOff>123825</xdr:rowOff>
    </xdr:from>
    <xdr:ext cx="523875" cy="581025"/>
    <xdr:sp macro="" textlink="">
      <xdr:nvSpPr>
        <xdr:cNvPr id="4" name="Shape 3">
          <a:extLst>
            <a:ext uri="{FF2B5EF4-FFF2-40B4-BE49-F238E27FC236}">
              <a16:creationId xmlns:a16="http://schemas.microsoft.com/office/drawing/2014/main" id="{00000000-0008-0000-0200-000004000000}"/>
            </a:ext>
          </a:extLst>
        </xdr:cNvPr>
        <xdr:cNvSpPr/>
      </xdr:nvSpPr>
      <xdr:spPr>
        <a:xfrm>
          <a:off x="5088825" y="3494250"/>
          <a:ext cx="514350" cy="571500"/>
        </a:xfrm>
        <a:prstGeom prst="downArrow">
          <a:avLst>
            <a:gd name="adj1" fmla="val 50000"/>
            <a:gd name="adj2" fmla="val 50000"/>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247650</xdr:colOff>
      <xdr:row>14</xdr:row>
      <xdr:rowOff>9525</xdr:rowOff>
    </xdr:from>
    <xdr:ext cx="952500" cy="161925"/>
    <xdr:sp macro="" textlink="">
      <xdr:nvSpPr>
        <xdr:cNvPr id="4" name="Shape 4">
          <a:extLst>
            <a:ext uri="{FF2B5EF4-FFF2-40B4-BE49-F238E27FC236}">
              <a16:creationId xmlns:a16="http://schemas.microsoft.com/office/drawing/2014/main" id="{00000000-0008-0000-0300-000004000000}"/>
            </a:ext>
          </a:extLst>
        </xdr:cNvPr>
        <xdr:cNvSpPr/>
      </xdr:nvSpPr>
      <xdr:spPr>
        <a:xfrm>
          <a:off x="4874513" y="3703800"/>
          <a:ext cx="942975" cy="152400"/>
        </a:xfrm>
        <a:prstGeom prst="rightArrow">
          <a:avLst>
            <a:gd name="adj1" fmla="val 50000"/>
            <a:gd name="adj2" fmla="val 50000"/>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257175</xdr:colOff>
      <xdr:row>17</xdr:row>
      <xdr:rowOff>19050</xdr:rowOff>
    </xdr:from>
    <xdr:ext cx="952500" cy="161925"/>
    <xdr:sp macro="" textlink="">
      <xdr:nvSpPr>
        <xdr:cNvPr id="2" name="Shape 4">
          <a:extLst>
            <a:ext uri="{FF2B5EF4-FFF2-40B4-BE49-F238E27FC236}">
              <a16:creationId xmlns:a16="http://schemas.microsoft.com/office/drawing/2014/main" id="{00000000-0008-0000-0300-000002000000}"/>
            </a:ext>
          </a:extLst>
        </xdr:cNvPr>
        <xdr:cNvSpPr/>
      </xdr:nvSpPr>
      <xdr:spPr>
        <a:xfrm>
          <a:off x="4874513" y="3703800"/>
          <a:ext cx="942975" cy="152400"/>
        </a:xfrm>
        <a:prstGeom prst="rightArrow">
          <a:avLst>
            <a:gd name="adj1" fmla="val 50000"/>
            <a:gd name="adj2" fmla="val 50000"/>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257175</xdr:colOff>
      <xdr:row>21</xdr:row>
      <xdr:rowOff>19050</xdr:rowOff>
    </xdr:from>
    <xdr:ext cx="952500" cy="161925"/>
    <xdr:sp macro="" textlink="">
      <xdr:nvSpPr>
        <xdr:cNvPr id="3" name="Shape 4">
          <a:extLst>
            <a:ext uri="{FF2B5EF4-FFF2-40B4-BE49-F238E27FC236}">
              <a16:creationId xmlns:a16="http://schemas.microsoft.com/office/drawing/2014/main" id="{00000000-0008-0000-0300-000003000000}"/>
            </a:ext>
          </a:extLst>
        </xdr:cNvPr>
        <xdr:cNvSpPr/>
      </xdr:nvSpPr>
      <xdr:spPr>
        <a:xfrm>
          <a:off x="4874513" y="3703800"/>
          <a:ext cx="942975" cy="152400"/>
        </a:xfrm>
        <a:prstGeom prst="rightArrow">
          <a:avLst>
            <a:gd name="adj1" fmla="val 50000"/>
            <a:gd name="adj2" fmla="val 50000"/>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257175</xdr:colOff>
      <xdr:row>22</xdr:row>
      <xdr:rowOff>19050</xdr:rowOff>
    </xdr:from>
    <xdr:ext cx="952500" cy="161925"/>
    <xdr:sp macro="" textlink="">
      <xdr:nvSpPr>
        <xdr:cNvPr id="5" name="Shape 4">
          <a:extLst>
            <a:ext uri="{FF2B5EF4-FFF2-40B4-BE49-F238E27FC236}">
              <a16:creationId xmlns:a16="http://schemas.microsoft.com/office/drawing/2014/main" id="{00000000-0008-0000-0300-000005000000}"/>
            </a:ext>
          </a:extLst>
        </xdr:cNvPr>
        <xdr:cNvSpPr/>
      </xdr:nvSpPr>
      <xdr:spPr>
        <a:xfrm>
          <a:off x="4874513" y="3703800"/>
          <a:ext cx="942975" cy="152400"/>
        </a:xfrm>
        <a:prstGeom prst="rightArrow">
          <a:avLst>
            <a:gd name="adj1" fmla="val 50000"/>
            <a:gd name="adj2" fmla="val 50000"/>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266700</xdr:colOff>
      <xdr:row>42</xdr:row>
      <xdr:rowOff>9525</xdr:rowOff>
    </xdr:from>
    <xdr:ext cx="952500" cy="161925"/>
    <xdr:sp macro="" textlink="">
      <xdr:nvSpPr>
        <xdr:cNvPr id="6" name="Shape 4">
          <a:extLst>
            <a:ext uri="{FF2B5EF4-FFF2-40B4-BE49-F238E27FC236}">
              <a16:creationId xmlns:a16="http://schemas.microsoft.com/office/drawing/2014/main" id="{00000000-0008-0000-0300-000006000000}"/>
            </a:ext>
          </a:extLst>
        </xdr:cNvPr>
        <xdr:cNvSpPr/>
      </xdr:nvSpPr>
      <xdr:spPr>
        <a:xfrm>
          <a:off x="4874513" y="3703800"/>
          <a:ext cx="942975" cy="152400"/>
        </a:xfrm>
        <a:prstGeom prst="rightArrow">
          <a:avLst>
            <a:gd name="adj1" fmla="val 50000"/>
            <a:gd name="adj2" fmla="val 50000"/>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247650</xdr:colOff>
      <xdr:row>23</xdr:row>
      <xdr:rowOff>38100</xdr:rowOff>
    </xdr:from>
    <xdr:ext cx="952500" cy="161925"/>
    <xdr:sp macro="" textlink="">
      <xdr:nvSpPr>
        <xdr:cNvPr id="7" name="Shape 4">
          <a:extLst>
            <a:ext uri="{FF2B5EF4-FFF2-40B4-BE49-F238E27FC236}">
              <a16:creationId xmlns:a16="http://schemas.microsoft.com/office/drawing/2014/main" id="{00000000-0008-0000-0300-000007000000}"/>
            </a:ext>
          </a:extLst>
        </xdr:cNvPr>
        <xdr:cNvSpPr/>
      </xdr:nvSpPr>
      <xdr:spPr>
        <a:xfrm>
          <a:off x="4874513" y="3703800"/>
          <a:ext cx="942975" cy="152400"/>
        </a:xfrm>
        <a:prstGeom prst="rightArrow">
          <a:avLst>
            <a:gd name="adj1" fmla="val 50000"/>
            <a:gd name="adj2" fmla="val 50000"/>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257175</xdr:colOff>
      <xdr:row>27</xdr:row>
      <xdr:rowOff>19050</xdr:rowOff>
    </xdr:from>
    <xdr:ext cx="952500" cy="161925"/>
    <xdr:sp macro="" textlink="">
      <xdr:nvSpPr>
        <xdr:cNvPr id="8" name="Shape 4">
          <a:extLst>
            <a:ext uri="{FF2B5EF4-FFF2-40B4-BE49-F238E27FC236}">
              <a16:creationId xmlns:a16="http://schemas.microsoft.com/office/drawing/2014/main" id="{00000000-0008-0000-0300-000008000000}"/>
            </a:ext>
          </a:extLst>
        </xdr:cNvPr>
        <xdr:cNvSpPr/>
      </xdr:nvSpPr>
      <xdr:spPr>
        <a:xfrm>
          <a:off x="4874513" y="3703800"/>
          <a:ext cx="942975" cy="152400"/>
        </a:xfrm>
        <a:prstGeom prst="rightArrow">
          <a:avLst>
            <a:gd name="adj1" fmla="val 50000"/>
            <a:gd name="adj2" fmla="val 50000"/>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266700</xdr:colOff>
      <xdr:row>28</xdr:row>
      <xdr:rowOff>28575</xdr:rowOff>
    </xdr:from>
    <xdr:ext cx="952500" cy="161925"/>
    <xdr:sp macro="" textlink="">
      <xdr:nvSpPr>
        <xdr:cNvPr id="9" name="Shape 4">
          <a:extLst>
            <a:ext uri="{FF2B5EF4-FFF2-40B4-BE49-F238E27FC236}">
              <a16:creationId xmlns:a16="http://schemas.microsoft.com/office/drawing/2014/main" id="{00000000-0008-0000-0300-000009000000}"/>
            </a:ext>
          </a:extLst>
        </xdr:cNvPr>
        <xdr:cNvSpPr/>
      </xdr:nvSpPr>
      <xdr:spPr>
        <a:xfrm>
          <a:off x="4874513" y="3703800"/>
          <a:ext cx="942975" cy="152400"/>
        </a:xfrm>
        <a:prstGeom prst="rightArrow">
          <a:avLst>
            <a:gd name="adj1" fmla="val 50000"/>
            <a:gd name="adj2" fmla="val 50000"/>
          </a:avLst>
        </a:prstGeom>
        <a:solidFill>
          <a:schemeClr val="accent1"/>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266700</xdr:colOff>
      <xdr:row>42</xdr:row>
      <xdr:rowOff>200025</xdr:rowOff>
    </xdr:from>
    <xdr:ext cx="962025" cy="171450"/>
    <xdr:sp macro="" textlink="">
      <xdr:nvSpPr>
        <xdr:cNvPr id="11" name="Shape 6">
          <a:extLst>
            <a:ext uri="{FF2B5EF4-FFF2-40B4-BE49-F238E27FC236}">
              <a16:creationId xmlns:a16="http://schemas.microsoft.com/office/drawing/2014/main" id="{00000000-0008-0000-0300-00000B000000}"/>
            </a:ext>
          </a:extLst>
        </xdr:cNvPr>
        <xdr:cNvSpPr/>
      </xdr:nvSpPr>
      <xdr:spPr>
        <a:xfrm>
          <a:off x="2957538" y="2077925"/>
          <a:ext cx="942900" cy="152400"/>
        </a:xfrm>
        <a:prstGeom prst="rightArrow">
          <a:avLst>
            <a:gd name="adj1" fmla="val 50000"/>
            <a:gd name="adj2" fmla="val 50000"/>
          </a:avLst>
        </a:prstGeom>
        <a:solidFill>
          <a:srgbClr val="3C78D8"/>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266700</xdr:colOff>
      <xdr:row>44</xdr:row>
      <xdr:rowOff>9525</xdr:rowOff>
    </xdr:from>
    <xdr:ext cx="962025" cy="171450"/>
    <xdr:sp macro="" textlink="">
      <xdr:nvSpPr>
        <xdr:cNvPr id="12" name="Shape 7">
          <a:extLst>
            <a:ext uri="{FF2B5EF4-FFF2-40B4-BE49-F238E27FC236}">
              <a16:creationId xmlns:a16="http://schemas.microsoft.com/office/drawing/2014/main" id="{00000000-0008-0000-0300-00000C000000}"/>
            </a:ext>
          </a:extLst>
        </xdr:cNvPr>
        <xdr:cNvSpPr/>
      </xdr:nvSpPr>
      <xdr:spPr>
        <a:xfrm>
          <a:off x="3003213" y="2118825"/>
          <a:ext cx="942900" cy="152400"/>
        </a:xfrm>
        <a:prstGeom prst="rightArrow">
          <a:avLst>
            <a:gd name="adj1" fmla="val 50000"/>
            <a:gd name="adj2" fmla="val 50000"/>
          </a:avLst>
        </a:prstGeom>
        <a:solidFill>
          <a:srgbClr val="3C78D8"/>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phila.gov/media/20250616114000/May-2025-Full-Public-Report.pdf." TargetMode="External"/><Relationship Id="rId7" Type="http://schemas.openxmlformats.org/officeDocument/2006/relationships/drawing" Target="../drawings/drawing1.xml"/><Relationship Id="rId2" Type="http://schemas.openxmlformats.org/officeDocument/2006/relationships/hyperlink" Target="https://fingfx.thomsonreuters.com/gfx/legaldocs/egvbmodrzpq/RAND_RRA2559-1.pdf" TargetMode="External"/><Relationship Id="rId1" Type="http://schemas.openxmlformats.org/officeDocument/2006/relationships/hyperlink" Target="https://drive.google.com/file/d/1QeajLVpWXGZz0ntJIYCFVURWg8iEL_CG/view?usp=drivesdk" TargetMode="External"/><Relationship Id="rId6" Type="http://schemas.openxmlformats.org/officeDocument/2006/relationships/hyperlink" Target="https://www.palbfc.gov/Resources/Documents/Reports/509.pdf" TargetMode="External"/><Relationship Id="rId5" Type="http://schemas.openxmlformats.org/officeDocument/2006/relationships/hyperlink" Target="https://www.federalregister.gov/documents/2023/09/22/2023-20585/annual-determination-of-average-cost-of-incarceration-fee-coif;%20If%20RJ%20cases%20are%20weighted%20to%20misdemeanor%20then%20low%20to%20medium%20range;%20if%20weighted%20to%20felony%20than%20%3e1yr%20(could%20be%20more%20than%20150%25).%20Safety%20in%20Numbers%20Analyzing%20Costs%20and%20Outcomes%20in%20the%20Philadelphia%20Criminal%20Legal%20System,%20Prepared%20by%20Oscar%20Boochever%20and%20Chuck%20Meire,%20Harvard%20Kennedy%20School,%20April%204,%202023." TargetMode="External"/><Relationship Id="rId4" Type="http://schemas.openxmlformats.org/officeDocument/2006/relationships/hyperlink" Target="https://www.federalregister.gov/documents/2023/09/22/2023-20585/annual-determination-of-average-cost-of-incarceration-fee-coi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irs.gov/filing/federal-income-tax-rates-and-brackets" TargetMode="External"/><Relationship Id="rId13" Type="http://schemas.openxmlformats.org/officeDocument/2006/relationships/hyperlink" Target="https://gspp.berkeley.edu/assets/uploads/research/pdf/Dom-nguez_et_al-2015-Criminology__Public_Policy.pdf" TargetMode="External"/><Relationship Id="rId3" Type="http://schemas.openxmlformats.org/officeDocument/2006/relationships/hyperlink" Target="https://www.brennancenter.org/our-work/research-reports/conviction-imprisonment-and-lost-earnings-how-involvement-criminal" TargetMode="External"/><Relationship Id="rId7" Type="http://schemas.openxmlformats.org/officeDocument/2006/relationships/hyperlink" Target="https://www.dol.gov/general/topic/wages/minimumwage" TargetMode="External"/><Relationship Id="rId12" Type="http://schemas.openxmlformats.org/officeDocument/2006/relationships/hyperlink" Target="https://doi.org/10.2139/ssrn.3265335" TargetMode="External"/><Relationship Id="rId2" Type="http://schemas.openxmlformats.org/officeDocument/2006/relationships/hyperlink" Target="https://www.bls.gov/careeroutlook/2023/data-on-display/education-pays.htm" TargetMode="External"/><Relationship Id="rId16" Type="http://schemas.openxmlformats.org/officeDocument/2006/relationships/drawing" Target="../drawings/drawing3.xml"/><Relationship Id="rId1" Type="http://schemas.openxmlformats.org/officeDocument/2006/relationships/hyperlink" Target="https://www.pa.gov/content/dam/copapwp-pagov/en/pcv/documents/victims-compensation/loss%20of%20earnings%20flyer.pdf" TargetMode="External"/><Relationship Id="rId6" Type="http://schemas.openxmlformats.org/officeDocument/2006/relationships/hyperlink" Target="https://independentsector.org/wp-content/uploads/2024/04/is-vovt-report-all-years_v2-1.pdf" TargetMode="External"/><Relationship Id="rId11" Type="http://schemas.openxmlformats.org/officeDocument/2006/relationships/hyperlink" Target="https://www.brennancenter.org/our-work/research-reports/conviction-imprisonment-and-lost-earnings-how-involvement-criminal" TargetMode="External"/><Relationship Id="rId5" Type="http://schemas.openxmlformats.org/officeDocument/2006/relationships/hyperlink" Target="https://www.dol.gov/general/topic/wages/minimumwage" TargetMode="External"/><Relationship Id="rId15" Type="http://schemas.openxmlformats.org/officeDocument/2006/relationships/printerSettings" Target="../printerSettings/printerSettings1.bin"/><Relationship Id="rId10" Type="http://schemas.openxmlformats.org/officeDocument/2006/relationships/hyperlink" Target="https://www.bls.gov/careeroutlook/2023/data-on-display/education-pays.htm" TargetMode="External"/><Relationship Id="rId4" Type="http://schemas.openxmlformats.org/officeDocument/2006/relationships/hyperlink" Target="https://doi.org/10.2139/ssrn.3265335" TargetMode="External"/><Relationship Id="rId9" Type="http://schemas.openxmlformats.org/officeDocument/2006/relationships/hyperlink" Target="https://www.pa.gov/agencies/revenue/resources/tax-rates.html" TargetMode="External"/><Relationship Id="rId14" Type="http://schemas.openxmlformats.org/officeDocument/2006/relationships/hyperlink" Target="https://www.pa.gov/content/dam/copapwp-pagov/en/pcv/documents/for-victims/documents/transportation%20expens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opLeftCell="A8" workbookViewId="0">
      <selection activeCell="A13" sqref="A13"/>
    </sheetView>
  </sheetViews>
  <sheetFormatPr defaultColWidth="14.42578125" defaultRowHeight="15" customHeight="1"/>
  <cols>
    <col min="1" max="1" width="114.28515625" customWidth="1"/>
    <col min="2" max="2" width="54.85546875" customWidth="1"/>
    <col min="3" max="3" width="65.85546875" customWidth="1"/>
    <col min="4" max="26" width="9.140625" customWidth="1"/>
  </cols>
  <sheetData>
    <row r="1" spans="1:2" ht="31.5" customHeight="1">
      <c r="A1" s="1" t="s">
        <v>0</v>
      </c>
      <c r="B1" s="2"/>
    </row>
    <row r="2" spans="1:2" ht="40.5" customHeight="1">
      <c r="A2" s="3" t="s">
        <v>1</v>
      </c>
      <c r="B2" s="2"/>
    </row>
    <row r="3" spans="1:2" ht="42" customHeight="1">
      <c r="A3" s="3" t="s">
        <v>2</v>
      </c>
      <c r="B3" s="2"/>
    </row>
    <row r="4" spans="1:2" ht="36.75" customHeight="1">
      <c r="A4" s="3" t="s">
        <v>3</v>
      </c>
      <c r="B4" s="2"/>
    </row>
    <row r="5" spans="1:2" ht="42" customHeight="1">
      <c r="A5" s="3" t="s">
        <v>4</v>
      </c>
      <c r="B5" s="2"/>
    </row>
    <row r="6" spans="1:2" ht="31.5" customHeight="1">
      <c r="A6" s="1" t="s">
        <v>5</v>
      </c>
      <c r="B6" s="2"/>
    </row>
    <row r="7" spans="1:2" ht="78.75" customHeight="1">
      <c r="A7" s="4" t="s">
        <v>6</v>
      </c>
      <c r="B7" s="2" t="s">
        <v>7</v>
      </c>
    </row>
    <row r="8" spans="1:2" ht="51" customHeight="1">
      <c r="A8" s="4" t="s">
        <v>8</v>
      </c>
      <c r="B8" s="2"/>
    </row>
    <row r="9" spans="1:2" ht="77.45" customHeight="1">
      <c r="A9" s="4" t="s">
        <v>9</v>
      </c>
      <c r="B9" s="2"/>
    </row>
    <row r="10" spans="1:2" ht="72" customHeight="1">
      <c r="A10" s="149" t="s">
        <v>10</v>
      </c>
      <c r="B10" s="2" t="s">
        <v>7</v>
      </c>
    </row>
    <row r="11" spans="1:2" ht="27.75" customHeight="1">
      <c r="A11" s="1" t="s">
        <v>11</v>
      </c>
      <c r="B11" s="2"/>
    </row>
    <row r="12" spans="1:2" ht="60.75" customHeight="1">
      <c r="A12" s="4" t="s">
        <v>12</v>
      </c>
      <c r="B12"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1"/>
  <sheetViews>
    <sheetView topLeftCell="A12" zoomScale="112" zoomScaleNormal="112" workbookViewId="0">
      <selection activeCell="A17" sqref="A17"/>
    </sheetView>
  </sheetViews>
  <sheetFormatPr defaultColWidth="14.42578125" defaultRowHeight="15" customHeight="1"/>
  <cols>
    <col min="1" max="1" width="40.28515625" customWidth="1"/>
    <col min="2" max="2" width="11" customWidth="1"/>
    <col min="3" max="3" width="10.7109375" customWidth="1"/>
    <col min="4" max="4" width="10.5703125" customWidth="1"/>
    <col min="5" max="5" width="3.140625" customWidth="1"/>
    <col min="6" max="6" width="8.28515625" customWidth="1"/>
    <col min="7" max="8" width="8.42578125" customWidth="1"/>
    <col min="9" max="9" width="3.140625" customWidth="1"/>
    <col min="10" max="10" width="10.85546875" customWidth="1"/>
    <col min="11" max="11" width="11" customWidth="1"/>
    <col min="12" max="12" width="11.140625" customWidth="1"/>
    <col min="13" max="13" width="52.140625" customWidth="1"/>
    <col min="14" max="14" width="44.42578125" customWidth="1"/>
    <col min="15" max="15" width="41.42578125" customWidth="1"/>
    <col min="16" max="26" width="12.5703125" customWidth="1"/>
  </cols>
  <sheetData>
    <row r="1" spans="1:16" ht="30.75" customHeight="1">
      <c r="A1" s="285" t="s">
        <v>13</v>
      </c>
      <c r="B1" s="286"/>
      <c r="C1" s="286"/>
      <c r="D1" s="286"/>
      <c r="E1" s="286"/>
      <c r="F1" s="286"/>
      <c r="G1" s="286"/>
      <c r="H1" s="286"/>
      <c r="I1" s="286"/>
      <c r="J1" s="286"/>
      <c r="K1" s="286"/>
      <c r="L1" s="286"/>
      <c r="M1" s="287"/>
      <c r="N1" s="287"/>
      <c r="O1" s="287"/>
      <c r="P1" s="287"/>
    </row>
    <row r="2" spans="1:16" ht="36" customHeight="1">
      <c r="A2" s="288" t="s">
        <v>14</v>
      </c>
      <c r="B2" s="286"/>
      <c r="C2" s="286"/>
      <c r="D2" s="286"/>
      <c r="E2" s="286"/>
      <c r="F2" s="286"/>
      <c r="G2" s="286"/>
      <c r="H2" s="286"/>
      <c r="I2" s="286"/>
      <c r="J2" s="286"/>
      <c r="K2" s="286"/>
      <c r="L2" s="286"/>
      <c r="M2" s="289"/>
      <c r="N2" s="286"/>
      <c r="O2" s="286"/>
      <c r="P2" s="290"/>
    </row>
    <row r="3" spans="1:16" ht="45.75" customHeight="1">
      <c r="A3" s="291" t="s">
        <v>15</v>
      </c>
      <c r="B3" s="292"/>
      <c r="C3" s="292"/>
      <c r="D3" s="292"/>
      <c r="E3" s="292"/>
      <c r="F3" s="292"/>
      <c r="G3" s="292"/>
      <c r="H3" s="292"/>
      <c r="I3" s="292"/>
      <c r="J3" s="292"/>
      <c r="K3" s="292"/>
      <c r="L3" s="293"/>
      <c r="M3" s="294" t="s">
        <v>7</v>
      </c>
      <c r="N3" s="286"/>
      <c r="O3" s="286"/>
      <c r="P3" s="290"/>
    </row>
    <row r="4" spans="1:16" ht="90" customHeight="1">
      <c r="A4" s="295" t="s">
        <v>16</v>
      </c>
      <c r="B4" s="286"/>
      <c r="C4" s="286"/>
      <c r="D4" s="286"/>
      <c r="E4" s="286"/>
      <c r="F4" s="286"/>
      <c r="G4" s="286"/>
      <c r="H4" s="286"/>
      <c r="I4" s="286"/>
      <c r="J4" s="286"/>
      <c r="K4" s="286"/>
      <c r="L4" s="290"/>
      <c r="M4" s="289"/>
      <c r="N4" s="286"/>
      <c r="O4" s="286"/>
      <c r="P4" s="290"/>
    </row>
    <row r="5" spans="1:16" ht="105" customHeight="1">
      <c r="A5" s="295" t="s">
        <v>17</v>
      </c>
      <c r="B5" s="286"/>
      <c r="C5" s="286"/>
      <c r="D5" s="286"/>
      <c r="E5" s="286"/>
      <c r="F5" s="286"/>
      <c r="G5" s="286"/>
      <c r="H5" s="286"/>
      <c r="I5" s="286"/>
      <c r="J5" s="286"/>
      <c r="K5" s="286"/>
      <c r="L5" s="290"/>
      <c r="M5" s="289"/>
      <c r="N5" s="286"/>
      <c r="O5" s="286"/>
      <c r="P5" s="290"/>
    </row>
    <row r="6" spans="1:16" ht="66.75" customHeight="1">
      <c r="A6" s="296" t="s">
        <v>18</v>
      </c>
      <c r="B6" s="286"/>
      <c r="C6" s="286"/>
      <c r="D6" s="286"/>
      <c r="E6" s="286"/>
      <c r="F6" s="286"/>
      <c r="G6" s="286"/>
      <c r="H6" s="286"/>
      <c r="I6" s="286"/>
      <c r="J6" s="286"/>
      <c r="K6" s="286"/>
      <c r="L6" s="290"/>
      <c r="M6" s="297"/>
      <c r="N6" s="297"/>
      <c r="O6" s="297"/>
      <c r="P6" s="297"/>
    </row>
    <row r="7" spans="1:16" ht="70.5" customHeight="1">
      <c r="A7" s="295" t="s">
        <v>19</v>
      </c>
      <c r="B7" s="286"/>
      <c r="C7" s="286"/>
      <c r="D7" s="286"/>
      <c r="E7" s="286"/>
      <c r="F7" s="286"/>
      <c r="G7" s="286"/>
      <c r="H7" s="286"/>
      <c r="I7" s="286"/>
      <c r="J7" s="286"/>
      <c r="K7" s="286"/>
      <c r="L7" s="290"/>
      <c r="M7" s="263"/>
      <c r="N7" s="263"/>
      <c r="O7" s="263"/>
      <c r="P7" s="297"/>
    </row>
    <row r="8" spans="1:16" ht="35.25" customHeight="1">
      <c r="A8" s="298"/>
      <c r="B8" s="292"/>
      <c r="C8" s="292"/>
      <c r="D8" s="292"/>
      <c r="E8" s="292"/>
      <c r="F8" s="292"/>
      <c r="G8" s="292"/>
      <c r="H8" s="292"/>
      <c r="I8" s="292"/>
      <c r="J8" s="292"/>
      <c r="K8" s="292"/>
      <c r="L8" s="293"/>
      <c r="M8" s="263"/>
      <c r="N8" s="263"/>
      <c r="O8" s="263"/>
      <c r="P8" s="263"/>
    </row>
    <row r="9" spans="1:16" ht="21.75" customHeight="1">
      <c r="A9" s="299" t="s">
        <v>20</v>
      </c>
      <c r="B9" s="286"/>
      <c r="C9" s="286"/>
      <c r="D9" s="286"/>
      <c r="E9" s="286"/>
      <c r="F9" s="286"/>
      <c r="G9" s="286"/>
      <c r="H9" s="286"/>
      <c r="I9" s="286"/>
      <c r="J9" s="286"/>
      <c r="K9" s="286"/>
      <c r="L9" s="286"/>
      <c r="M9" s="5" t="s">
        <v>21</v>
      </c>
      <c r="N9" s="300" t="s">
        <v>22</v>
      </c>
      <c r="O9" s="6" t="s">
        <v>23</v>
      </c>
      <c r="P9" s="263"/>
    </row>
    <row r="10" spans="1:16" ht="60" customHeight="1">
      <c r="A10" s="301" t="s">
        <v>24</v>
      </c>
      <c r="B10" s="302"/>
      <c r="C10" s="302"/>
      <c r="D10" s="303" t="s">
        <v>25</v>
      </c>
      <c r="E10" s="304"/>
      <c r="F10" s="302"/>
      <c r="G10" s="302"/>
      <c r="H10" s="302"/>
      <c r="I10" s="304"/>
      <c r="J10" s="305" t="s">
        <v>26</v>
      </c>
      <c r="K10" s="305" t="s">
        <v>26</v>
      </c>
      <c r="L10" s="306" t="s">
        <v>26</v>
      </c>
      <c r="M10" s="7"/>
      <c r="N10" s="8"/>
      <c r="O10" s="9"/>
      <c r="P10" s="263"/>
    </row>
    <row r="11" spans="1:16" ht="63.75" customHeight="1">
      <c r="A11" s="307"/>
      <c r="B11" s="308"/>
      <c r="C11" s="308"/>
      <c r="D11" s="309"/>
      <c r="E11" s="261"/>
      <c r="F11" s="310" t="s">
        <v>27</v>
      </c>
      <c r="G11" s="308"/>
      <c r="H11" s="309"/>
      <c r="I11" s="304"/>
      <c r="J11" s="311" t="s">
        <v>28</v>
      </c>
      <c r="K11" s="312"/>
      <c r="L11" s="312"/>
      <c r="M11" s="10"/>
      <c r="N11" s="10"/>
      <c r="O11" s="9"/>
      <c r="P11" s="263"/>
    </row>
    <row r="12" spans="1:16" ht="56.25" customHeight="1">
      <c r="A12" s="11" t="s">
        <v>29</v>
      </c>
      <c r="B12" s="12" t="s">
        <v>30</v>
      </c>
      <c r="C12" s="13" t="s">
        <v>31</v>
      </c>
      <c r="D12" s="12" t="s">
        <v>32</v>
      </c>
      <c r="E12" s="14"/>
      <c r="F12" s="15" t="s">
        <v>33</v>
      </c>
      <c r="G12" s="15" t="s">
        <v>34</v>
      </c>
      <c r="H12" s="15" t="s">
        <v>35</v>
      </c>
      <c r="I12" s="14"/>
      <c r="J12" s="15" t="s">
        <v>36</v>
      </c>
      <c r="K12" s="313" t="s">
        <v>37</v>
      </c>
      <c r="L12" s="15" t="s">
        <v>38</v>
      </c>
      <c r="M12" s="314"/>
      <c r="N12" s="16"/>
      <c r="O12" s="9"/>
      <c r="P12" s="263"/>
    </row>
    <row r="13" spans="1:16" ht="104.25" customHeight="1">
      <c r="A13" s="17" t="s">
        <v>39</v>
      </c>
      <c r="B13" s="315">
        <v>1</v>
      </c>
      <c r="C13" s="316">
        <v>2000</v>
      </c>
      <c r="D13" s="18">
        <f t="shared" ref="D13:D19" si="0">B13*C13</f>
        <v>2000</v>
      </c>
      <c r="E13" s="19"/>
      <c r="F13" s="20">
        <v>1</v>
      </c>
      <c r="G13" s="20">
        <v>1</v>
      </c>
      <c r="H13" s="20">
        <v>1</v>
      </c>
      <c r="I13" s="21"/>
      <c r="J13" s="18">
        <f t="shared" ref="J13:J19" si="1">D13*F13</f>
        <v>2000</v>
      </c>
      <c r="K13" s="27">
        <f t="shared" ref="K13:K19" si="2">D13*G13</f>
        <v>2000</v>
      </c>
      <c r="L13" s="27">
        <f t="shared" ref="L13:L19" si="3">D13*H13</f>
        <v>2000</v>
      </c>
      <c r="M13" s="10" t="s">
        <v>40</v>
      </c>
      <c r="N13" s="22" t="s">
        <v>41</v>
      </c>
      <c r="O13" s="23"/>
      <c r="P13" s="24"/>
    </row>
    <row r="14" spans="1:16" ht="72.75" customHeight="1">
      <c r="A14" s="25" t="s">
        <v>42</v>
      </c>
      <c r="B14" s="26">
        <v>1</v>
      </c>
      <c r="C14" s="27">
        <v>80</v>
      </c>
      <c r="D14" s="18">
        <f t="shared" si="0"/>
        <v>80</v>
      </c>
      <c r="E14" s="19"/>
      <c r="F14" s="20">
        <v>1</v>
      </c>
      <c r="G14" s="20">
        <v>1</v>
      </c>
      <c r="H14" s="20">
        <v>1</v>
      </c>
      <c r="I14" s="21"/>
      <c r="J14" s="18">
        <f t="shared" si="1"/>
        <v>80</v>
      </c>
      <c r="K14" s="18">
        <f t="shared" si="2"/>
        <v>80</v>
      </c>
      <c r="L14" s="28">
        <f t="shared" si="3"/>
        <v>80</v>
      </c>
      <c r="M14" s="16" t="s">
        <v>43</v>
      </c>
      <c r="N14" s="29" t="s">
        <v>44</v>
      </c>
      <c r="O14" s="30"/>
      <c r="P14" s="24"/>
    </row>
    <row r="15" spans="1:16" ht="103.5" customHeight="1">
      <c r="A15" s="25" t="s">
        <v>45</v>
      </c>
      <c r="B15" s="31">
        <v>1</v>
      </c>
      <c r="C15" s="27">
        <v>6000</v>
      </c>
      <c r="D15" s="18">
        <f t="shared" si="0"/>
        <v>6000</v>
      </c>
      <c r="E15" s="19"/>
      <c r="F15" s="20">
        <v>1</v>
      </c>
      <c r="G15" s="20">
        <v>1</v>
      </c>
      <c r="H15" s="20">
        <v>1</v>
      </c>
      <c r="I15" s="21"/>
      <c r="J15" s="18">
        <f t="shared" si="1"/>
        <v>6000</v>
      </c>
      <c r="K15" s="18">
        <f t="shared" si="2"/>
        <v>6000</v>
      </c>
      <c r="L15" s="27">
        <f t="shared" si="3"/>
        <v>6000</v>
      </c>
      <c r="M15" s="10" t="s">
        <v>46</v>
      </c>
      <c r="N15" s="10" t="s">
        <v>47</v>
      </c>
      <c r="O15" s="9"/>
      <c r="P15" s="24"/>
    </row>
    <row r="16" spans="1:16" ht="54.75" customHeight="1">
      <c r="A16" s="17" t="s">
        <v>48</v>
      </c>
      <c r="B16" s="317">
        <v>7</v>
      </c>
      <c r="C16" s="318">
        <v>120</v>
      </c>
      <c r="D16" s="18">
        <f t="shared" si="0"/>
        <v>840</v>
      </c>
      <c r="E16" s="19"/>
      <c r="F16" s="20">
        <v>0.1</v>
      </c>
      <c r="G16" s="20">
        <v>0.5</v>
      </c>
      <c r="H16" s="20">
        <v>1</v>
      </c>
      <c r="I16" s="21"/>
      <c r="J16" s="18">
        <f t="shared" si="1"/>
        <v>84</v>
      </c>
      <c r="K16" s="27">
        <f t="shared" si="2"/>
        <v>420</v>
      </c>
      <c r="L16" s="18">
        <f t="shared" si="3"/>
        <v>840</v>
      </c>
      <c r="M16" s="319" t="s">
        <v>49</v>
      </c>
      <c r="N16" s="320" t="s">
        <v>50</v>
      </c>
      <c r="O16" s="32"/>
      <c r="P16" s="24"/>
    </row>
    <row r="17" spans="1:15" ht="73.5" customHeight="1">
      <c r="A17" s="25" t="s">
        <v>51</v>
      </c>
      <c r="B17" s="31">
        <v>365</v>
      </c>
      <c r="C17" s="33">
        <v>120</v>
      </c>
      <c r="D17" s="18">
        <f t="shared" si="0"/>
        <v>43800</v>
      </c>
      <c r="E17" s="19"/>
      <c r="F17" s="34">
        <v>0.25</v>
      </c>
      <c r="G17" s="34">
        <v>0.65</v>
      </c>
      <c r="H17" s="203">
        <v>1</v>
      </c>
      <c r="I17" s="21"/>
      <c r="J17" s="18">
        <f t="shared" si="1"/>
        <v>10950</v>
      </c>
      <c r="K17" s="27">
        <f t="shared" si="2"/>
        <v>28470</v>
      </c>
      <c r="L17" s="18">
        <f t="shared" si="3"/>
        <v>43800</v>
      </c>
      <c r="M17" s="10" t="s">
        <v>52</v>
      </c>
      <c r="N17" s="321" t="s">
        <v>53</v>
      </c>
      <c r="O17" s="35" t="s">
        <v>54</v>
      </c>
    </row>
    <row r="18" spans="1:15" ht="84" customHeight="1">
      <c r="A18" s="25" t="s">
        <v>55</v>
      </c>
      <c r="B18" s="26">
        <v>1</v>
      </c>
      <c r="C18" s="33">
        <v>746</v>
      </c>
      <c r="D18" s="18">
        <f t="shared" si="0"/>
        <v>746</v>
      </c>
      <c r="E18" s="19"/>
      <c r="F18" s="20">
        <v>1</v>
      </c>
      <c r="G18" s="20">
        <v>1</v>
      </c>
      <c r="H18" s="20">
        <v>1</v>
      </c>
      <c r="I18" s="21"/>
      <c r="J18" s="18">
        <f t="shared" si="1"/>
        <v>746</v>
      </c>
      <c r="K18" s="18">
        <f t="shared" si="2"/>
        <v>746</v>
      </c>
      <c r="L18" s="27">
        <f t="shared" si="3"/>
        <v>746</v>
      </c>
      <c r="M18" s="322" t="s">
        <v>56</v>
      </c>
      <c r="N18" s="323" t="s">
        <v>57</v>
      </c>
      <c r="O18" s="9"/>
    </row>
    <row r="19" spans="1:15" ht="30" customHeight="1">
      <c r="A19" s="36" t="s">
        <v>58</v>
      </c>
      <c r="B19" s="37"/>
      <c r="C19" s="38">
        <v>0</v>
      </c>
      <c r="D19" s="39">
        <f t="shared" si="0"/>
        <v>0</v>
      </c>
      <c r="E19" s="19"/>
      <c r="F19" s="40"/>
      <c r="G19" s="40"/>
      <c r="H19" s="40"/>
      <c r="I19" s="21"/>
      <c r="J19" s="18">
        <f t="shared" si="1"/>
        <v>0</v>
      </c>
      <c r="K19" s="18">
        <f t="shared" si="2"/>
        <v>0</v>
      </c>
      <c r="L19" s="27">
        <f t="shared" si="3"/>
        <v>0</v>
      </c>
      <c r="M19" s="41" t="s">
        <v>59</v>
      </c>
      <c r="N19" s="41"/>
      <c r="O19" s="9"/>
    </row>
    <row r="20" spans="1:15" ht="23.1" customHeight="1">
      <c r="A20" s="324" t="s">
        <v>60</v>
      </c>
      <c r="B20" s="286"/>
      <c r="C20" s="286"/>
      <c r="D20" s="286"/>
      <c r="E20" s="286"/>
      <c r="F20" s="286"/>
      <c r="G20" s="286"/>
      <c r="H20" s="286"/>
      <c r="I20" s="290"/>
      <c r="J20" s="42">
        <f t="shared" ref="J20:L20" si="4">SUM(J13:J19)</f>
        <v>19860</v>
      </c>
      <c r="K20" s="43">
        <f t="shared" si="4"/>
        <v>37716</v>
      </c>
      <c r="L20" s="325">
        <f t="shared" si="4"/>
        <v>53466</v>
      </c>
      <c r="M20" s="44" t="s">
        <v>61</v>
      </c>
      <c r="N20" s="9"/>
      <c r="O20" s="9"/>
    </row>
    <row r="21" spans="1:15" ht="14.25" customHeight="1">
      <c r="A21" s="9"/>
      <c r="B21" s="14"/>
      <c r="C21" s="14" t="s">
        <v>7</v>
      </c>
      <c r="D21" s="45"/>
      <c r="E21" s="45"/>
      <c r="F21" s="45"/>
      <c r="G21" s="45"/>
      <c r="H21" s="14"/>
      <c r="I21" s="14"/>
      <c r="J21" s="326" t="s">
        <v>33</v>
      </c>
      <c r="K21" s="46" t="s">
        <v>62</v>
      </c>
      <c r="L21" s="47" t="s">
        <v>35</v>
      </c>
      <c r="M21" s="9"/>
      <c r="N21" s="9"/>
      <c r="O21" s="9"/>
    </row>
  </sheetData>
  <mergeCells count="17">
    <mergeCell ref="A1:L1"/>
    <mergeCell ref="A2:L2"/>
    <mergeCell ref="M2:P2"/>
    <mergeCell ref="A3:L3"/>
    <mergeCell ref="M3:P3"/>
    <mergeCell ref="A4:L4"/>
    <mergeCell ref="M4:P4"/>
    <mergeCell ref="F11:H11"/>
    <mergeCell ref="J11:L11"/>
    <mergeCell ref="A20:I20"/>
    <mergeCell ref="A5:L5"/>
    <mergeCell ref="M5:P5"/>
    <mergeCell ref="A6:L6"/>
    <mergeCell ref="A7:L7"/>
    <mergeCell ref="A8:L8"/>
    <mergeCell ref="A9:L9"/>
    <mergeCell ref="A11:D11"/>
  </mergeCells>
  <hyperlinks>
    <hyperlink ref="N13" r:id="rId1" xr:uid="{00000000-0004-0000-0100-000000000000}"/>
    <hyperlink ref="N14" r:id="rId2" xr:uid="{00000000-0004-0000-0100-000001000000}"/>
    <hyperlink ref="M16" r:id="rId3" xr:uid="{00000000-0004-0000-0100-000002000000}"/>
    <hyperlink ref="N16" r:id="rId4" xr:uid="{00000000-0004-0000-0100-000003000000}"/>
    <hyperlink ref="N17" r:id="rId5" display="https://www.federalregister.gov/documents/2023/09/22/2023-20585/annual-determination-of-average-cost-of-incarceration-fee-coif; If RJ cases are weighted to misdemeanor then low to medium range; if weighted to felony than &gt;1yr (could be more than 150%). Safety in Numbers Analyzing Costs and Outcomes in the Philadelphia Criminal Legal System, Prepared by Oscar Boochever and Chuck Meire, Harvard Kennedy School, April 4, 2023." xr:uid="{00000000-0004-0000-0100-000004000000}"/>
    <hyperlink ref="N18" r:id="rId6" xr:uid="{00000000-0004-0000-0100-000005000000}"/>
  </hyperlinks>
  <pageMargins left="0.7" right="0.7" top="0.75" bottom="0.75" header="0" footer="0"/>
  <pageSetup orientation="landscape"/>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3"/>
  <sheetViews>
    <sheetView topLeftCell="A32" zoomScale="152" zoomScaleNormal="152" workbookViewId="0">
      <selection activeCell="B43" sqref="B43:D43"/>
    </sheetView>
  </sheetViews>
  <sheetFormatPr defaultColWidth="14.42578125" defaultRowHeight="15" customHeight="1"/>
  <cols>
    <col min="1" max="1" width="43.42578125" customWidth="1"/>
    <col min="2" max="2" width="16.7109375" customWidth="1"/>
    <col min="3" max="3" width="13.42578125" customWidth="1"/>
    <col min="4" max="4" width="16.42578125" customWidth="1"/>
    <col min="5" max="5" width="60.7109375" customWidth="1"/>
    <col min="6" max="6" width="46.140625" customWidth="1"/>
    <col min="7" max="26" width="8.7109375" customWidth="1"/>
  </cols>
  <sheetData>
    <row r="1" spans="1:12" ht="36.75" customHeight="1">
      <c r="A1" s="285" t="s">
        <v>63</v>
      </c>
      <c r="B1" s="286"/>
      <c r="C1" s="286"/>
      <c r="D1" s="286"/>
      <c r="E1" s="286"/>
      <c r="F1" s="286"/>
      <c r="G1" s="286"/>
      <c r="H1" s="286"/>
      <c r="I1" s="286"/>
      <c r="J1" s="286"/>
      <c r="K1" s="286"/>
      <c r="L1" s="286"/>
    </row>
    <row r="2" spans="1:12" ht="31.5" customHeight="1">
      <c r="A2" s="327" t="s">
        <v>64</v>
      </c>
      <c r="B2" s="286"/>
      <c r="C2" s="286"/>
      <c r="D2" s="290"/>
      <c r="E2" s="263"/>
      <c r="F2" s="263"/>
      <c r="G2" s="263"/>
      <c r="H2" s="263"/>
      <c r="I2" s="263"/>
      <c r="J2" s="263"/>
      <c r="K2" s="263"/>
      <c r="L2" s="263"/>
    </row>
    <row r="3" spans="1:12" ht="33.75" customHeight="1">
      <c r="A3" s="328" t="s">
        <v>65</v>
      </c>
      <c r="B3" s="308"/>
      <c r="C3" s="308"/>
      <c r="D3" s="309"/>
      <c r="E3" s="287"/>
      <c r="F3" s="263"/>
      <c r="G3" s="263"/>
      <c r="H3" s="263"/>
      <c r="I3" s="263"/>
      <c r="J3" s="263"/>
      <c r="K3" s="263"/>
      <c r="L3" s="263"/>
    </row>
    <row r="4" spans="1:12" ht="33.75" customHeight="1">
      <c r="A4" s="296" t="s">
        <v>66</v>
      </c>
      <c r="B4" s="286"/>
      <c r="C4" s="286"/>
      <c r="D4" s="290"/>
      <c r="E4" s="287"/>
      <c r="F4" s="263"/>
      <c r="G4" s="263"/>
      <c r="H4" s="263"/>
      <c r="I4" s="263"/>
      <c r="J4" s="263"/>
      <c r="K4" s="263"/>
      <c r="L4" s="263"/>
    </row>
    <row r="5" spans="1:12" ht="36.75" customHeight="1">
      <c r="A5" s="295" t="s">
        <v>67</v>
      </c>
      <c r="B5" s="286"/>
      <c r="C5" s="286"/>
      <c r="D5" s="290"/>
      <c r="E5" s="287"/>
      <c r="F5" s="263"/>
      <c r="G5" s="263"/>
      <c r="H5" s="263"/>
      <c r="I5" s="263"/>
      <c r="J5" s="263"/>
      <c r="K5" s="263"/>
      <c r="L5" s="263"/>
    </row>
    <row r="6" spans="1:12" ht="36" customHeight="1">
      <c r="A6" s="295" t="s">
        <v>68</v>
      </c>
      <c r="B6" s="286"/>
      <c r="C6" s="286"/>
      <c r="D6" s="290"/>
      <c r="E6" s="287"/>
      <c r="F6" s="263"/>
      <c r="G6" s="263"/>
      <c r="H6" s="263"/>
      <c r="I6" s="263"/>
      <c r="J6" s="263"/>
      <c r="K6" s="263"/>
      <c r="L6" s="263"/>
    </row>
    <row r="7" spans="1:12" ht="66.75" customHeight="1">
      <c r="A7" s="295" t="s">
        <v>69</v>
      </c>
      <c r="B7" s="286"/>
      <c r="C7" s="286"/>
      <c r="D7" s="290"/>
      <c r="E7" s="287"/>
      <c r="F7" s="263"/>
      <c r="G7" s="263"/>
      <c r="H7" s="263"/>
      <c r="I7" s="263"/>
      <c r="J7" s="263"/>
      <c r="K7" s="263"/>
      <c r="L7" s="263"/>
    </row>
    <row r="8" spans="1:12" ht="14.25" customHeight="1">
      <c r="A8" s="263"/>
      <c r="B8" s="287" t="s">
        <v>7</v>
      </c>
      <c r="C8" s="263"/>
      <c r="D8" s="263"/>
      <c r="E8" s="263"/>
      <c r="F8" s="263"/>
      <c r="G8" s="263"/>
      <c r="H8" s="263"/>
      <c r="I8" s="263"/>
      <c r="J8" s="263"/>
      <c r="K8" s="263"/>
      <c r="L8" s="263"/>
    </row>
    <row r="9" spans="1:12" ht="14.25" customHeight="1">
      <c r="A9" s="329" t="s">
        <v>70</v>
      </c>
      <c r="B9" s="292"/>
      <c r="C9" s="292"/>
      <c r="D9" s="292"/>
      <c r="E9" s="48" t="s">
        <v>71</v>
      </c>
      <c r="F9" s="48" t="s">
        <v>22</v>
      </c>
      <c r="G9" s="263"/>
      <c r="H9" s="263"/>
      <c r="I9" s="263"/>
      <c r="J9" s="263"/>
      <c r="K9" s="263"/>
      <c r="L9" s="263"/>
    </row>
    <row r="10" spans="1:12" ht="27.95" customHeight="1">
      <c r="A10" s="49" t="s">
        <v>72</v>
      </c>
      <c r="B10" s="50" t="s">
        <v>73</v>
      </c>
      <c r="C10" s="50" t="s">
        <v>74</v>
      </c>
      <c r="D10" s="51" t="s">
        <v>75</v>
      </c>
      <c r="E10" s="52"/>
      <c r="F10" s="52"/>
      <c r="G10" s="263"/>
      <c r="H10" s="263"/>
      <c r="I10" s="263"/>
      <c r="J10" s="263"/>
      <c r="K10" s="263"/>
      <c r="L10" s="263"/>
    </row>
    <row r="11" spans="1:12" ht="55.5" customHeight="1">
      <c r="A11" s="16" t="s">
        <v>76</v>
      </c>
      <c r="B11" s="12">
        <v>1</v>
      </c>
      <c r="C11" s="53">
        <v>50</v>
      </c>
      <c r="D11" s="53">
        <f t="shared" ref="D11:D22" si="0">B11*C11</f>
        <v>50</v>
      </c>
      <c r="E11" s="54" t="s">
        <v>77</v>
      </c>
      <c r="F11" s="55" t="s">
        <v>78</v>
      </c>
      <c r="G11" s="263"/>
      <c r="H11" s="263"/>
      <c r="I11" s="263"/>
      <c r="J11" s="263"/>
      <c r="K11" s="263"/>
      <c r="L11" s="263"/>
    </row>
    <row r="12" spans="1:12" ht="14.25" customHeight="1">
      <c r="A12" s="10" t="s">
        <v>79</v>
      </c>
      <c r="B12" s="15">
        <v>15</v>
      </c>
      <c r="C12" s="56">
        <v>50</v>
      </c>
      <c r="D12" s="56">
        <f t="shared" si="0"/>
        <v>750</v>
      </c>
      <c r="E12" s="57" t="s">
        <v>80</v>
      </c>
      <c r="F12" s="55" t="s">
        <v>78</v>
      </c>
      <c r="G12" s="263"/>
      <c r="H12" s="263"/>
      <c r="I12" s="263"/>
      <c r="J12" s="263"/>
      <c r="K12" s="263"/>
      <c r="L12" s="263"/>
    </row>
    <row r="13" spans="1:12" ht="14.25" customHeight="1">
      <c r="A13" s="58" t="s">
        <v>81</v>
      </c>
      <c r="B13" s="15">
        <v>15</v>
      </c>
      <c r="C13" s="56">
        <v>50</v>
      </c>
      <c r="D13" s="56">
        <f>B13*C13</f>
        <v>750</v>
      </c>
      <c r="E13" s="57" t="s">
        <v>80</v>
      </c>
      <c r="F13" s="55" t="s">
        <v>78</v>
      </c>
      <c r="G13" s="263"/>
      <c r="H13" s="263"/>
      <c r="I13" s="263"/>
      <c r="J13" s="263"/>
      <c r="K13" s="263"/>
      <c r="L13" s="263"/>
    </row>
    <row r="14" spans="1:12" ht="14.25" customHeight="1">
      <c r="A14" s="58" t="s">
        <v>82</v>
      </c>
      <c r="B14" s="15">
        <v>10</v>
      </c>
      <c r="C14" s="56">
        <v>10</v>
      </c>
      <c r="D14" s="56">
        <f t="shared" si="0"/>
        <v>100</v>
      </c>
      <c r="E14" s="57" t="s">
        <v>80</v>
      </c>
      <c r="F14" s="55" t="s">
        <v>78</v>
      </c>
      <c r="G14" s="263"/>
      <c r="H14" s="263"/>
      <c r="I14" s="263"/>
      <c r="J14" s="263"/>
      <c r="K14" s="263"/>
      <c r="L14" s="263"/>
    </row>
    <row r="15" spans="1:12" ht="14.25" customHeight="1">
      <c r="A15" s="10" t="s">
        <v>83</v>
      </c>
      <c r="B15" s="15">
        <v>4</v>
      </c>
      <c r="C15" s="56">
        <v>50</v>
      </c>
      <c r="D15" s="56">
        <f t="shared" si="0"/>
        <v>200</v>
      </c>
      <c r="E15" s="57" t="s">
        <v>80</v>
      </c>
      <c r="F15" s="55" t="s">
        <v>78</v>
      </c>
      <c r="G15" s="263"/>
      <c r="H15" s="263"/>
      <c r="I15" s="263"/>
      <c r="J15" s="263"/>
      <c r="K15" s="263"/>
      <c r="L15" s="263"/>
    </row>
    <row r="16" spans="1:12" ht="14.25" customHeight="1">
      <c r="A16" s="10" t="s">
        <v>84</v>
      </c>
      <c r="B16" s="15">
        <v>1</v>
      </c>
      <c r="C16" s="56">
        <v>50</v>
      </c>
      <c r="D16" s="56">
        <f t="shared" si="0"/>
        <v>50</v>
      </c>
      <c r="E16" s="57" t="s">
        <v>80</v>
      </c>
      <c r="F16" s="55" t="s">
        <v>78</v>
      </c>
      <c r="G16" s="263"/>
      <c r="H16" s="263"/>
      <c r="I16" s="263"/>
      <c r="J16" s="263"/>
      <c r="K16" s="263"/>
      <c r="L16" s="263"/>
    </row>
    <row r="17" spans="1:6" ht="14.25" customHeight="1">
      <c r="A17" s="10" t="s">
        <v>85</v>
      </c>
      <c r="B17" s="15">
        <v>10</v>
      </c>
      <c r="C17" s="56">
        <v>50</v>
      </c>
      <c r="D17" s="56">
        <f t="shared" si="0"/>
        <v>500</v>
      </c>
      <c r="E17" s="57" t="s">
        <v>80</v>
      </c>
      <c r="F17" s="55" t="s">
        <v>78</v>
      </c>
    </row>
    <row r="18" spans="1:6" ht="21" customHeight="1">
      <c r="A18" s="10" t="s">
        <v>86</v>
      </c>
      <c r="B18" s="15">
        <v>10</v>
      </c>
      <c r="C18" s="56">
        <v>50</v>
      </c>
      <c r="D18" s="56">
        <f t="shared" si="0"/>
        <v>500</v>
      </c>
      <c r="E18" s="57" t="s">
        <v>80</v>
      </c>
      <c r="F18" s="55" t="s">
        <v>78</v>
      </c>
    </row>
    <row r="19" spans="1:6" ht="14.25" customHeight="1">
      <c r="A19" s="25" t="s">
        <v>87</v>
      </c>
      <c r="B19" s="59">
        <v>1</v>
      </c>
      <c r="C19" s="60">
        <v>300</v>
      </c>
      <c r="D19" s="60">
        <f t="shared" si="0"/>
        <v>300</v>
      </c>
      <c r="E19" s="54" t="s">
        <v>88</v>
      </c>
      <c r="F19" s="55" t="s">
        <v>78</v>
      </c>
    </row>
    <row r="20" spans="1:6" ht="33.6" customHeight="1">
      <c r="A20" s="25" t="s">
        <v>89</v>
      </c>
      <c r="B20" s="59">
        <v>1</v>
      </c>
      <c r="C20" s="60">
        <v>250</v>
      </c>
      <c r="D20" s="60">
        <f t="shared" si="0"/>
        <v>250</v>
      </c>
      <c r="E20" s="54" t="s">
        <v>90</v>
      </c>
      <c r="F20" s="55" t="s">
        <v>78</v>
      </c>
    </row>
    <row r="21" spans="1:6" ht="14.25" customHeight="1">
      <c r="A21" s="10" t="s">
        <v>91</v>
      </c>
      <c r="B21" s="15">
        <v>1</v>
      </c>
      <c r="C21" s="56">
        <v>150</v>
      </c>
      <c r="D21" s="60">
        <f t="shared" si="0"/>
        <v>150</v>
      </c>
      <c r="E21" s="61"/>
      <c r="F21" s="55" t="s">
        <v>78</v>
      </c>
    </row>
    <row r="22" spans="1:6" ht="20.45" customHeight="1">
      <c r="A22" s="10" t="s">
        <v>92</v>
      </c>
      <c r="B22" s="15">
        <v>1</v>
      </c>
      <c r="C22" s="56">
        <v>1000</v>
      </c>
      <c r="D22" s="56">
        <f t="shared" si="0"/>
        <v>1000</v>
      </c>
      <c r="E22" s="25" t="s">
        <v>93</v>
      </c>
      <c r="F22" s="54" t="s">
        <v>94</v>
      </c>
    </row>
    <row r="23" spans="1:6" ht="14.25" customHeight="1">
      <c r="A23" s="62" t="s">
        <v>95</v>
      </c>
      <c r="B23" s="63" t="s">
        <v>7</v>
      </c>
      <c r="C23" s="64" t="s">
        <v>7</v>
      </c>
      <c r="D23" s="64">
        <f>SUM(D11:D22)</f>
        <v>4600</v>
      </c>
      <c r="E23" s="58" t="s">
        <v>96</v>
      </c>
      <c r="F23" s="54" t="s">
        <v>97</v>
      </c>
    </row>
    <row r="24" spans="1:6" ht="29.25" customHeight="1">
      <c r="A24" s="328" t="s">
        <v>98</v>
      </c>
      <c r="B24" s="308"/>
      <c r="C24" s="308"/>
      <c r="D24" s="309"/>
      <c r="E24" s="330"/>
      <c r="F24" s="15"/>
    </row>
    <row r="25" spans="1:6" ht="14.25" customHeight="1">
      <c r="A25" s="204" t="s">
        <v>76</v>
      </c>
      <c r="B25" s="205">
        <v>1</v>
      </c>
      <c r="C25" s="206">
        <v>50</v>
      </c>
      <c r="D25" s="206">
        <f t="shared" ref="D25:D28" si="1">B25*C25</f>
        <v>50</v>
      </c>
      <c r="E25" s="330"/>
      <c r="F25" s="15"/>
    </row>
    <row r="26" spans="1:6" ht="14.25" customHeight="1">
      <c r="A26" s="204" t="s">
        <v>79</v>
      </c>
      <c r="B26" s="205">
        <v>15</v>
      </c>
      <c r="C26" s="206">
        <v>50</v>
      </c>
      <c r="D26" s="206">
        <f t="shared" si="1"/>
        <v>750</v>
      </c>
      <c r="E26" s="209"/>
      <c r="F26" s="15"/>
    </row>
    <row r="27" spans="1:6" ht="14.25" customHeight="1">
      <c r="A27" s="25" t="s">
        <v>87</v>
      </c>
      <c r="B27" s="207">
        <v>1</v>
      </c>
      <c r="C27" s="208">
        <v>100</v>
      </c>
      <c r="D27" s="208">
        <f t="shared" si="1"/>
        <v>100</v>
      </c>
      <c r="E27" s="210" t="s">
        <v>99</v>
      </c>
      <c r="F27" s="15"/>
    </row>
    <row r="28" spans="1:6" ht="24.6" customHeight="1">
      <c r="A28" s="65" t="s">
        <v>100</v>
      </c>
      <c r="B28" s="59">
        <v>1</v>
      </c>
      <c r="C28" s="66">
        <f>'CJS Program Costs'!K20</f>
        <v>37716</v>
      </c>
      <c r="D28" s="66">
        <f t="shared" si="1"/>
        <v>37716</v>
      </c>
      <c r="E28" s="67" t="s">
        <v>101</v>
      </c>
      <c r="F28" s="15"/>
    </row>
    <row r="29" spans="1:6" ht="27.95" customHeight="1">
      <c r="A29" s="331" t="s">
        <v>102</v>
      </c>
      <c r="B29" s="332" t="s">
        <v>7</v>
      </c>
      <c r="C29" s="333"/>
      <c r="D29" s="334">
        <f>SUM(D25:D28)</f>
        <v>38616</v>
      </c>
      <c r="E29" s="58" t="s">
        <v>96</v>
      </c>
      <c r="F29" s="15"/>
    </row>
    <row r="30" spans="1:6" ht="47.25" customHeight="1">
      <c r="A30" s="335" t="s">
        <v>103</v>
      </c>
      <c r="B30" s="286"/>
      <c r="C30" s="286"/>
      <c r="D30" s="290"/>
      <c r="E30" s="68"/>
      <c r="F30" s="15"/>
    </row>
    <row r="31" spans="1:6" ht="14.25" customHeight="1">
      <c r="A31" s="16" t="s">
        <v>104</v>
      </c>
      <c r="B31" s="69">
        <v>1</v>
      </c>
      <c r="C31" s="70">
        <f>D23</f>
        <v>4600</v>
      </c>
      <c r="D31" s="70">
        <f>B31*C31</f>
        <v>4600</v>
      </c>
      <c r="E31" s="68"/>
      <c r="F31" s="15"/>
    </row>
    <row r="32" spans="1:6" ht="32.450000000000003" customHeight="1">
      <c r="A32" s="65" t="s">
        <v>100</v>
      </c>
      <c r="B32" s="59">
        <v>1</v>
      </c>
      <c r="C32" s="66">
        <f>'CJS Program Costs'!K20</f>
        <v>37716</v>
      </c>
      <c r="D32" s="66">
        <f t="shared" ref="D32" si="2">B32*C32</f>
        <v>37716</v>
      </c>
      <c r="E32" s="67" t="s">
        <v>105</v>
      </c>
      <c r="F32" s="15"/>
    </row>
    <row r="33" spans="1:6" ht="37.5" customHeight="1">
      <c r="A33" s="71" t="s">
        <v>106</v>
      </c>
      <c r="B33" s="72" t="s">
        <v>7</v>
      </c>
      <c r="C33" s="73"/>
      <c r="D33" s="74">
        <f>SUM(D31:D32)</f>
        <v>42316</v>
      </c>
      <c r="E33" s="58" t="s">
        <v>96</v>
      </c>
      <c r="F33" s="15"/>
    </row>
    <row r="34" spans="1:6" ht="14.25" customHeight="1">
      <c r="A34" s="336"/>
      <c r="B34" s="336"/>
      <c r="C34" s="336"/>
      <c r="D34" s="336"/>
      <c r="E34" s="330"/>
      <c r="F34" s="330"/>
    </row>
    <row r="35" spans="1:6" ht="14.25" customHeight="1">
      <c r="A35" s="337" t="s">
        <v>107</v>
      </c>
      <c r="B35" s="286"/>
      <c r="C35" s="286"/>
      <c r="D35" s="290"/>
      <c r="E35" s="75" t="s">
        <v>7</v>
      </c>
      <c r="F35" s="330"/>
    </row>
    <row r="36" spans="1:6" ht="69.599999999999994" customHeight="1">
      <c r="A36" s="2"/>
      <c r="B36" s="338" t="s">
        <v>108</v>
      </c>
      <c r="C36" s="339" t="s">
        <v>109</v>
      </c>
      <c r="D36" s="338" t="s">
        <v>110</v>
      </c>
      <c r="E36" s="76"/>
      <c r="F36" s="330"/>
    </row>
    <row r="37" spans="1:6" ht="16.5" customHeight="1">
      <c r="A37" s="57" t="s">
        <v>111</v>
      </c>
      <c r="B37" s="77">
        <f>D23</f>
        <v>4600</v>
      </c>
      <c r="C37" s="77">
        <f>D29</f>
        <v>38616</v>
      </c>
      <c r="D37" s="77">
        <f>D33</f>
        <v>42316</v>
      </c>
      <c r="E37" s="191" t="s">
        <v>112</v>
      </c>
      <c r="F37" s="340"/>
    </row>
    <row r="38" spans="1:6" ht="69.75" customHeight="1">
      <c r="A38" s="341" t="s">
        <v>113</v>
      </c>
      <c r="B38" s="302"/>
      <c r="C38" s="302"/>
      <c r="D38" s="187"/>
      <c r="E38" s="192"/>
      <c r="F38" s="342"/>
    </row>
    <row r="39" spans="1:6" ht="14.25" customHeight="1">
      <c r="A39" s="343" t="s">
        <v>114</v>
      </c>
      <c r="B39" s="78">
        <v>0.97</v>
      </c>
      <c r="C39" s="188">
        <v>2.5000000000000001E-2</v>
      </c>
      <c r="D39" s="188">
        <v>5.0000000000000001E-3</v>
      </c>
      <c r="E39" s="192" t="s">
        <v>115</v>
      </c>
      <c r="F39" s="193" t="s">
        <v>78</v>
      </c>
    </row>
    <row r="40" spans="1:6" ht="14.25" customHeight="1">
      <c r="A40" s="58" t="s">
        <v>116</v>
      </c>
      <c r="B40" s="77">
        <f>B37*B39*100</f>
        <v>446200</v>
      </c>
      <c r="C40" s="77">
        <f t="shared" ref="C40:D40" si="3">C37*C39*100</f>
        <v>96540.000000000015</v>
      </c>
      <c r="D40" s="189">
        <f t="shared" si="3"/>
        <v>21158</v>
      </c>
      <c r="E40" s="192" t="s">
        <v>117</v>
      </c>
      <c r="F40" s="342"/>
    </row>
    <row r="41" spans="1:6" ht="14.25" customHeight="1">
      <c r="A41" s="35"/>
      <c r="B41" s="79"/>
      <c r="C41" s="79"/>
      <c r="D41" s="190"/>
      <c r="E41" s="342"/>
      <c r="F41" s="342"/>
    </row>
    <row r="42" spans="1:6" ht="18" customHeight="1">
      <c r="A42" s="58" t="s">
        <v>118</v>
      </c>
      <c r="B42" s="344">
        <f>SUM(B40:D40)</f>
        <v>563898</v>
      </c>
      <c r="C42" s="286"/>
      <c r="D42" s="286"/>
      <c r="E42" s="192" t="s">
        <v>119</v>
      </c>
      <c r="F42" s="342"/>
    </row>
    <row r="43" spans="1:6" ht="21" customHeight="1">
      <c r="A43" s="345" t="s">
        <v>120</v>
      </c>
      <c r="B43" s="346">
        <f>B42/100</f>
        <v>5638.98</v>
      </c>
      <c r="C43" s="308"/>
      <c r="D43" s="308"/>
      <c r="E43" s="192" t="s">
        <v>121</v>
      </c>
      <c r="F43" s="342"/>
    </row>
  </sheetData>
  <mergeCells count="13">
    <mergeCell ref="B43:D43"/>
    <mergeCell ref="A1:L1"/>
    <mergeCell ref="A2:D2"/>
    <mergeCell ref="A3:D3"/>
    <mergeCell ref="A4:D4"/>
    <mergeCell ref="A5:D5"/>
    <mergeCell ref="A6:D6"/>
    <mergeCell ref="A7:D7"/>
    <mergeCell ref="A9:D9"/>
    <mergeCell ref="A24:D24"/>
    <mergeCell ref="A30:D30"/>
    <mergeCell ref="A35:D35"/>
    <mergeCell ref="B42:D42"/>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1"/>
  <sheetViews>
    <sheetView topLeftCell="A24" workbookViewId="0">
      <selection activeCell="B37" sqref="B37"/>
    </sheetView>
  </sheetViews>
  <sheetFormatPr defaultColWidth="14.42578125" defaultRowHeight="15" customHeight="1"/>
  <cols>
    <col min="1" max="1" width="22.42578125" customWidth="1"/>
    <col min="2" max="2" width="28.7109375" customWidth="1"/>
    <col min="3" max="3" width="56" customWidth="1"/>
    <col min="4" max="4" width="16.140625" customWidth="1"/>
    <col min="5" max="5" width="73.85546875" customWidth="1"/>
    <col min="6" max="6" width="62.7109375" customWidth="1"/>
    <col min="7" max="7" width="46.42578125" customWidth="1"/>
    <col min="8" max="26" width="9.140625" customWidth="1"/>
  </cols>
  <sheetData>
    <row r="1" spans="1:7" ht="30.6" customHeight="1">
      <c r="A1" s="347" t="s">
        <v>122</v>
      </c>
      <c r="B1" s="286"/>
      <c r="C1" s="286"/>
      <c r="D1" s="286"/>
      <c r="E1" s="290"/>
      <c r="F1" s="80"/>
      <c r="G1" s="81"/>
    </row>
    <row r="2" spans="1:7" ht="32.25" customHeight="1">
      <c r="A2" s="82" t="s">
        <v>123</v>
      </c>
      <c r="B2" s="82"/>
      <c r="C2" s="83"/>
      <c r="D2" s="2"/>
      <c r="E2" s="84"/>
      <c r="F2" s="80"/>
      <c r="G2" s="81"/>
    </row>
    <row r="3" spans="1:7" ht="38.25" customHeight="1">
      <c r="A3" s="295" t="s">
        <v>124</v>
      </c>
      <c r="B3" s="286"/>
      <c r="C3" s="290"/>
      <c r="D3" s="2"/>
      <c r="E3" s="84"/>
      <c r="F3" s="80"/>
      <c r="G3" s="81"/>
    </row>
    <row r="4" spans="1:7" ht="35.25" customHeight="1">
      <c r="A4" s="295" t="s">
        <v>125</v>
      </c>
      <c r="B4" s="286"/>
      <c r="C4" s="290"/>
      <c r="D4" s="2"/>
      <c r="E4" s="84"/>
      <c r="F4" s="80"/>
      <c r="G4" s="81"/>
    </row>
    <row r="5" spans="1:7" ht="27" customHeight="1">
      <c r="A5" s="85"/>
      <c r="B5" s="86" t="s">
        <v>126</v>
      </c>
      <c r="C5" s="87" t="s">
        <v>127</v>
      </c>
      <c r="D5" s="86" t="s">
        <v>128</v>
      </c>
      <c r="E5" s="87" t="s">
        <v>21</v>
      </c>
      <c r="F5" s="88" t="s">
        <v>129</v>
      </c>
      <c r="G5" s="348"/>
    </row>
    <row r="6" spans="1:7" ht="14.25" customHeight="1">
      <c r="A6" s="349" t="s">
        <v>130</v>
      </c>
      <c r="B6" s="350" t="s">
        <v>131</v>
      </c>
      <c r="C6" s="292"/>
      <c r="D6" s="292"/>
      <c r="E6" s="292"/>
      <c r="F6" s="292"/>
      <c r="G6" s="89"/>
    </row>
    <row r="7" spans="1:7" ht="14.25" customHeight="1">
      <c r="A7" s="351"/>
      <c r="B7" s="90">
        <f>'CJS Program Costs'!J20</f>
        <v>19860</v>
      </c>
      <c r="C7" s="91" t="s">
        <v>132</v>
      </c>
      <c r="D7" s="92"/>
      <c r="E7" s="91" t="s">
        <v>133</v>
      </c>
      <c r="F7" s="93"/>
      <c r="G7" s="352"/>
    </row>
    <row r="8" spans="1:7" ht="14.25" customHeight="1">
      <c r="A8" s="351"/>
      <c r="B8" s="90">
        <f>'CJS Program Costs'!K20</f>
        <v>37716</v>
      </c>
      <c r="C8" s="91" t="s">
        <v>134</v>
      </c>
      <c r="D8" s="92"/>
      <c r="E8" s="91" t="s">
        <v>133</v>
      </c>
      <c r="F8" s="93"/>
      <c r="G8" s="352"/>
    </row>
    <row r="9" spans="1:7" ht="14.25" customHeight="1">
      <c r="A9" s="351"/>
      <c r="B9" s="90">
        <f>'CJS Program Costs'!L20</f>
        <v>53466</v>
      </c>
      <c r="C9" s="91" t="s">
        <v>135</v>
      </c>
      <c r="D9" s="92"/>
      <c r="E9" s="91" t="s">
        <v>133</v>
      </c>
      <c r="F9" s="93"/>
      <c r="G9" s="352"/>
    </row>
    <row r="10" spans="1:7" ht="14.25" customHeight="1">
      <c r="A10" s="351"/>
      <c r="B10" s="353"/>
      <c r="C10" s="286"/>
      <c r="D10" s="286"/>
      <c r="E10" s="290"/>
      <c r="F10" s="94"/>
      <c r="G10" s="352"/>
    </row>
    <row r="11" spans="1:7" ht="14.25" customHeight="1">
      <c r="A11" s="351"/>
      <c r="B11" s="354" t="s">
        <v>136</v>
      </c>
      <c r="C11" s="286"/>
      <c r="D11" s="286"/>
      <c r="E11" s="286"/>
      <c r="F11" s="290"/>
      <c r="G11" s="352"/>
    </row>
    <row r="12" spans="1:7" ht="14.25" customHeight="1">
      <c r="A12" s="351"/>
      <c r="B12" s="90">
        <f>'RJC Program Costs'!B43</f>
        <v>5638.98</v>
      </c>
      <c r="C12" s="91" t="s">
        <v>137</v>
      </c>
      <c r="D12" s="92" t="s">
        <v>138</v>
      </c>
      <c r="E12" s="91" t="s">
        <v>139</v>
      </c>
      <c r="F12" s="95"/>
      <c r="G12" s="352"/>
    </row>
    <row r="13" spans="1:7" ht="14.25" customHeight="1">
      <c r="A13" s="2"/>
      <c r="B13" s="355"/>
      <c r="C13" s="312"/>
      <c r="D13" s="312"/>
      <c r="E13" s="312"/>
      <c r="F13" s="312"/>
      <c r="G13" s="312"/>
    </row>
    <row r="14" spans="1:7" ht="14.25" customHeight="1">
      <c r="A14" s="2"/>
      <c r="B14" s="356" t="s">
        <v>140</v>
      </c>
      <c r="C14" s="286"/>
      <c r="D14" s="286"/>
      <c r="E14" s="286"/>
      <c r="F14" s="290"/>
      <c r="G14" s="357"/>
    </row>
    <row r="15" spans="1:7" ht="14.25" customHeight="1">
      <c r="A15" s="2"/>
      <c r="B15" s="96">
        <v>2</v>
      </c>
      <c r="C15" s="211" t="s">
        <v>141</v>
      </c>
      <c r="D15" s="97" t="s">
        <v>142</v>
      </c>
      <c r="E15" s="98" t="s">
        <v>143</v>
      </c>
      <c r="F15" s="358" t="s">
        <v>78</v>
      </c>
      <c r="G15" s="81"/>
    </row>
    <row r="16" spans="1:7" ht="14.25" customHeight="1">
      <c r="A16" s="2"/>
      <c r="B16" s="359"/>
      <c r="C16" s="286"/>
      <c r="D16" s="286"/>
      <c r="E16" s="286"/>
      <c r="F16" s="290"/>
      <c r="G16" s="81"/>
    </row>
    <row r="17" spans="2:7" ht="14.25" customHeight="1">
      <c r="B17" s="360" t="s">
        <v>144</v>
      </c>
      <c r="C17" s="308"/>
      <c r="D17" s="308"/>
      <c r="E17" s="308"/>
      <c r="F17" s="351"/>
      <c r="G17" s="263"/>
    </row>
    <row r="18" spans="2:7" ht="51.6" customHeight="1">
      <c r="B18" s="99">
        <v>1500</v>
      </c>
      <c r="C18" s="98" t="s">
        <v>145</v>
      </c>
      <c r="D18" s="100" t="s">
        <v>146</v>
      </c>
      <c r="E18" s="195" t="s">
        <v>147</v>
      </c>
      <c r="F18" s="197" t="s">
        <v>148</v>
      </c>
      <c r="G18" s="194"/>
    </row>
    <row r="19" spans="2:7" ht="39" customHeight="1">
      <c r="B19" s="361">
        <v>0.23</v>
      </c>
      <c r="C19" s="108" t="s">
        <v>149</v>
      </c>
      <c r="D19" s="361">
        <v>0.23</v>
      </c>
      <c r="E19" s="101" t="s">
        <v>150</v>
      </c>
      <c r="F19" s="196" t="s">
        <v>151</v>
      </c>
      <c r="G19" s="263"/>
    </row>
    <row r="20" spans="2:7" ht="15.75" customHeight="1">
      <c r="B20" s="362"/>
      <c r="C20" s="286"/>
      <c r="D20" s="286"/>
      <c r="E20" s="286"/>
      <c r="F20" s="290"/>
      <c r="G20" s="263"/>
    </row>
    <row r="21" spans="2:7" ht="15.75" customHeight="1">
      <c r="B21" s="363" t="s">
        <v>152</v>
      </c>
      <c r="C21" s="286"/>
      <c r="D21" s="286"/>
      <c r="E21" s="290"/>
      <c r="F21" s="364"/>
      <c r="G21" s="263"/>
    </row>
    <row r="22" spans="2:7" ht="86.25" customHeight="1">
      <c r="B22" s="102">
        <v>250</v>
      </c>
      <c r="C22" s="103" t="s">
        <v>153</v>
      </c>
      <c r="D22" s="104" t="s">
        <v>154</v>
      </c>
      <c r="E22" s="91" t="s">
        <v>155</v>
      </c>
      <c r="F22" s="198" t="s">
        <v>156</v>
      </c>
      <c r="G22" s="263"/>
    </row>
    <row r="23" spans="2:7" ht="99.75" customHeight="1">
      <c r="B23" s="105">
        <v>5000</v>
      </c>
      <c r="C23" s="222" t="s">
        <v>157</v>
      </c>
      <c r="D23" s="106" t="s">
        <v>158</v>
      </c>
      <c r="E23" s="108" t="s">
        <v>159</v>
      </c>
      <c r="F23" s="365" t="s">
        <v>160</v>
      </c>
      <c r="G23" s="263"/>
    </row>
    <row r="24" spans="2:7" ht="83.45" customHeight="1">
      <c r="B24" s="107">
        <v>0.8</v>
      </c>
      <c r="C24" s="222" t="s">
        <v>161</v>
      </c>
      <c r="D24" s="106" t="s">
        <v>162</v>
      </c>
      <c r="E24" s="108" t="s">
        <v>163</v>
      </c>
      <c r="F24" s="109" t="s">
        <v>164</v>
      </c>
      <c r="G24" s="263"/>
    </row>
    <row r="25" spans="2:7" ht="14.25" customHeight="1">
      <c r="B25" s="366"/>
      <c r="C25" s="286"/>
      <c r="D25" s="286"/>
      <c r="E25" s="286"/>
      <c r="F25" s="290"/>
      <c r="G25" s="263"/>
    </row>
    <row r="26" spans="2:7" ht="16.5" customHeight="1">
      <c r="B26" s="356" t="s">
        <v>165</v>
      </c>
      <c r="C26" s="286"/>
      <c r="D26" s="286"/>
      <c r="E26" s="286"/>
      <c r="F26" s="290"/>
      <c r="G26" s="263"/>
    </row>
    <row r="27" spans="2:7" ht="14.25" customHeight="1">
      <c r="B27" s="363" t="s">
        <v>166</v>
      </c>
      <c r="C27" s="286"/>
      <c r="D27" s="286"/>
      <c r="E27" s="286"/>
      <c r="F27" s="286"/>
      <c r="G27" s="263"/>
    </row>
    <row r="28" spans="2:7" ht="14.25" customHeight="1">
      <c r="B28" s="104">
        <v>8840</v>
      </c>
      <c r="C28" s="103" t="s">
        <v>167</v>
      </c>
      <c r="D28" s="110" t="s">
        <v>168</v>
      </c>
      <c r="E28" s="111" t="s">
        <v>169</v>
      </c>
      <c r="F28" s="367" t="s">
        <v>170</v>
      </c>
      <c r="G28" s="263"/>
    </row>
    <row r="29" spans="2:7" ht="14.25" customHeight="1">
      <c r="B29" s="112">
        <v>0.1</v>
      </c>
      <c r="C29" s="103" t="s">
        <v>171</v>
      </c>
      <c r="D29" s="113"/>
      <c r="E29" s="114" t="s">
        <v>172</v>
      </c>
      <c r="F29" s="115" t="s">
        <v>173</v>
      </c>
      <c r="G29" s="263"/>
    </row>
    <row r="30" spans="2:7" ht="14.25" customHeight="1">
      <c r="B30" s="116"/>
      <c r="C30" s="103"/>
      <c r="D30" s="113"/>
      <c r="E30" s="117" t="s">
        <v>7</v>
      </c>
      <c r="F30" s="118"/>
      <c r="G30" s="263"/>
    </row>
    <row r="31" spans="2:7" ht="14.25" customHeight="1">
      <c r="B31" s="368" t="s">
        <v>174</v>
      </c>
      <c r="C31" s="292"/>
      <c r="D31" s="292"/>
      <c r="E31" s="292"/>
      <c r="F31" s="292"/>
      <c r="G31" s="263"/>
    </row>
    <row r="32" spans="2:7" ht="69" customHeight="1">
      <c r="B32" s="104">
        <v>3016</v>
      </c>
      <c r="C32" s="103" t="s">
        <v>175</v>
      </c>
      <c r="D32" s="110" t="s">
        <v>176</v>
      </c>
      <c r="E32" s="119" t="s">
        <v>177</v>
      </c>
      <c r="F32" s="367" t="s">
        <v>178</v>
      </c>
      <c r="G32" s="263"/>
    </row>
    <row r="33" spans="1:6" ht="14.25" customHeight="1">
      <c r="A33" s="2"/>
      <c r="B33" s="120">
        <v>0.8</v>
      </c>
      <c r="C33" s="91" t="s">
        <v>179</v>
      </c>
      <c r="D33" s="121" t="s">
        <v>180</v>
      </c>
      <c r="E33" s="369" t="s">
        <v>181</v>
      </c>
      <c r="F33" s="370" t="s">
        <v>182</v>
      </c>
    </row>
    <row r="34" spans="1:6" ht="14.25" customHeight="1">
      <c r="A34" s="2"/>
      <c r="B34" s="2"/>
      <c r="C34" s="84"/>
      <c r="D34" s="2"/>
      <c r="E34" s="84"/>
      <c r="F34" s="80"/>
    </row>
    <row r="35" spans="1:6" ht="14.25" customHeight="1">
      <c r="A35" s="2"/>
      <c r="B35" s="363" t="s">
        <v>183</v>
      </c>
      <c r="C35" s="286"/>
      <c r="D35" s="286"/>
      <c r="E35" s="292"/>
      <c r="F35" s="290"/>
    </row>
    <row r="36" spans="1:6" ht="30.6" customHeight="1">
      <c r="A36" s="2"/>
      <c r="B36" s="122">
        <v>15080</v>
      </c>
      <c r="C36" s="211" t="s">
        <v>184</v>
      </c>
      <c r="D36" s="217"/>
      <c r="E36" s="212" t="s">
        <v>185</v>
      </c>
      <c r="F36" s="219" t="s">
        <v>186</v>
      </c>
    </row>
    <row r="37" spans="1:6" ht="18.600000000000001" customHeight="1">
      <c r="A37" s="2"/>
      <c r="B37" s="214">
        <f>'CJS Program Costs'!F17</f>
        <v>0.25</v>
      </c>
      <c r="C37" s="212" t="s">
        <v>187</v>
      </c>
      <c r="D37" s="213"/>
      <c r="E37" s="218" t="s">
        <v>188</v>
      </c>
      <c r="F37" s="220"/>
    </row>
    <row r="38" spans="1:6" ht="19.5" customHeight="1">
      <c r="A38" s="2"/>
      <c r="B38" s="216">
        <f>'CJS Program Costs'!G17</f>
        <v>0.65</v>
      </c>
      <c r="C38" s="212" t="s">
        <v>189</v>
      </c>
      <c r="D38" s="213"/>
      <c r="E38" s="212" t="s">
        <v>188</v>
      </c>
      <c r="F38" s="220"/>
    </row>
    <row r="39" spans="1:6" ht="45.95" customHeight="1">
      <c r="A39" s="371"/>
      <c r="B39" s="214">
        <f>'CJS Program Costs'!H17</f>
        <v>1</v>
      </c>
      <c r="C39" s="212" t="s">
        <v>190</v>
      </c>
      <c r="D39" s="372" t="s">
        <v>7</v>
      </c>
      <c r="E39" s="212" t="s">
        <v>188</v>
      </c>
      <c r="F39" s="221"/>
    </row>
    <row r="40" spans="1:6" ht="14.25" customHeight="1">
      <c r="A40" s="2"/>
      <c r="B40" s="366"/>
      <c r="C40" s="308"/>
      <c r="D40" s="286"/>
      <c r="E40" s="308"/>
      <c r="F40" s="309"/>
    </row>
    <row r="41" spans="1:6" ht="15.95" customHeight="1">
      <c r="A41" s="2"/>
      <c r="B41" s="373" t="s">
        <v>191</v>
      </c>
      <c r="C41" s="308"/>
      <c r="D41" s="308"/>
      <c r="E41" s="308"/>
      <c r="F41" s="309"/>
    </row>
    <row r="42" spans="1:6" ht="14.25" customHeight="1">
      <c r="A42" s="2"/>
      <c r="B42" s="363" t="s">
        <v>192</v>
      </c>
      <c r="C42" s="286"/>
      <c r="D42" s="286"/>
      <c r="E42" s="286"/>
      <c r="F42" s="290"/>
    </row>
    <row r="43" spans="1:6" ht="24" customHeight="1">
      <c r="A43" s="2"/>
      <c r="B43" s="124">
        <v>40</v>
      </c>
      <c r="C43" s="123" t="s">
        <v>193</v>
      </c>
      <c r="D43" s="124" t="s">
        <v>194</v>
      </c>
      <c r="E43" s="125" t="s">
        <v>195</v>
      </c>
      <c r="F43" s="126" t="s">
        <v>196</v>
      </c>
    </row>
    <row r="44" spans="1:6" ht="14.25" customHeight="1">
      <c r="A44" s="374"/>
      <c r="B44" s="105">
        <v>15</v>
      </c>
      <c r="C44" s="222" t="s">
        <v>197</v>
      </c>
      <c r="D44" s="127" t="s">
        <v>198</v>
      </c>
      <c r="E44" s="91" t="s">
        <v>199</v>
      </c>
      <c r="F44" s="375" t="s">
        <v>200</v>
      </c>
    </row>
    <row r="45" spans="1:6" ht="14.25" customHeight="1">
      <c r="A45" s="2"/>
      <c r="B45" s="120">
        <v>0.15</v>
      </c>
      <c r="C45" s="91" t="s">
        <v>201</v>
      </c>
      <c r="D45" s="376" t="s">
        <v>162</v>
      </c>
      <c r="E45" s="125" t="s">
        <v>202</v>
      </c>
      <c r="F45" s="126" t="s">
        <v>203</v>
      </c>
    </row>
    <row r="46" spans="1:6" ht="14.25" customHeight="1">
      <c r="A46" s="2"/>
      <c r="B46" s="128"/>
      <c r="C46" s="129"/>
      <c r="D46" s="377"/>
      <c r="E46" s="129"/>
      <c r="F46" s="378"/>
    </row>
    <row r="47" spans="1:6" ht="15.75" customHeight="1">
      <c r="A47" s="2"/>
      <c r="B47" s="291" t="s">
        <v>204</v>
      </c>
      <c r="C47" s="292"/>
      <c r="D47" s="292"/>
      <c r="E47" s="293"/>
      <c r="F47" s="130"/>
    </row>
    <row r="48" spans="1:6" ht="14.25" customHeight="1">
      <c r="A48" s="2"/>
      <c r="B48" s="131">
        <v>15080</v>
      </c>
      <c r="C48" s="91" t="s">
        <v>205</v>
      </c>
      <c r="D48" s="91" t="s">
        <v>206</v>
      </c>
      <c r="E48" s="91" t="s">
        <v>207</v>
      </c>
      <c r="F48" s="379" t="s">
        <v>208</v>
      </c>
    </row>
    <row r="49" spans="1:6" ht="14.25" customHeight="1">
      <c r="A49" s="2"/>
      <c r="B49" s="380">
        <v>0.16750000000000001</v>
      </c>
      <c r="C49" s="222" t="s">
        <v>209</v>
      </c>
      <c r="D49" s="111" t="s">
        <v>210</v>
      </c>
      <c r="E49" s="199" t="s">
        <v>211</v>
      </c>
      <c r="F49" s="220" t="s">
        <v>212</v>
      </c>
    </row>
    <row r="50" spans="1:6" ht="15.75" customHeight="1">
      <c r="A50" s="2" t="s">
        <v>213</v>
      </c>
      <c r="B50" s="104">
        <f t="shared" ref="B50:B51" si="0">B28</f>
        <v>8840</v>
      </c>
      <c r="C50" s="103" t="s">
        <v>214</v>
      </c>
      <c r="D50" s="110" t="s">
        <v>168</v>
      </c>
      <c r="E50" s="111" t="s">
        <v>215</v>
      </c>
      <c r="F50" s="201" t="s">
        <v>170</v>
      </c>
    </row>
    <row r="51" spans="1:6" ht="14.25" customHeight="1">
      <c r="A51" s="2" t="s">
        <v>213</v>
      </c>
      <c r="B51" s="132">
        <f t="shared" si="0"/>
        <v>0.1</v>
      </c>
      <c r="C51" s="111" t="s">
        <v>216</v>
      </c>
      <c r="D51" s="381" t="s">
        <v>162</v>
      </c>
      <c r="E51" s="114" t="s">
        <v>217</v>
      </c>
      <c r="F51" s="115" t="s">
        <v>173</v>
      </c>
    </row>
    <row r="52" spans="1:6" ht="14.25" customHeight="1">
      <c r="A52" s="2"/>
      <c r="B52" s="104">
        <v>3016</v>
      </c>
      <c r="C52" s="103" t="s">
        <v>175</v>
      </c>
      <c r="D52" s="110" t="s">
        <v>176</v>
      </c>
      <c r="E52" s="119" t="s">
        <v>177</v>
      </c>
      <c r="F52" s="367" t="s">
        <v>178</v>
      </c>
    </row>
    <row r="53" spans="1:6" ht="14.25" customHeight="1">
      <c r="A53" s="2"/>
      <c r="B53" s="107">
        <v>0.8</v>
      </c>
      <c r="C53" s="222" t="s">
        <v>179</v>
      </c>
      <c r="D53" s="223" t="s">
        <v>180</v>
      </c>
      <c r="E53" s="200" t="s">
        <v>181</v>
      </c>
      <c r="F53" s="382" t="s">
        <v>182</v>
      </c>
    </row>
    <row r="54" spans="1:6" ht="14.25" customHeight="1">
      <c r="A54" s="2" t="s">
        <v>213</v>
      </c>
      <c r="B54" s="224">
        <f>B37</f>
        <v>0.25</v>
      </c>
      <c r="C54" s="212" t="s">
        <v>187</v>
      </c>
      <c r="D54" s="213"/>
      <c r="E54" s="218" t="s">
        <v>188</v>
      </c>
      <c r="F54" s="220"/>
    </row>
    <row r="55" spans="1:6" ht="14.25" customHeight="1">
      <c r="A55" s="2" t="s">
        <v>213</v>
      </c>
      <c r="B55" s="224">
        <f>B38</f>
        <v>0.65</v>
      </c>
      <c r="C55" s="212" t="s">
        <v>189</v>
      </c>
      <c r="D55" s="213"/>
      <c r="E55" s="212" t="s">
        <v>188</v>
      </c>
      <c r="F55" s="220"/>
    </row>
    <row r="56" spans="1:6" ht="14.25" customHeight="1">
      <c r="A56" s="2" t="s">
        <v>213</v>
      </c>
      <c r="B56" s="224">
        <f>B39</f>
        <v>1</v>
      </c>
      <c r="C56" s="212" t="s">
        <v>190</v>
      </c>
      <c r="D56" s="372" t="s">
        <v>7</v>
      </c>
      <c r="E56" s="212" t="s">
        <v>188</v>
      </c>
      <c r="F56" s="221"/>
    </row>
    <row r="57" spans="1:6" ht="15.75" customHeight="1">
      <c r="A57" s="2"/>
      <c r="B57" s="267"/>
      <c r="C57" s="383"/>
      <c r="D57" s="383"/>
      <c r="E57" s="383"/>
      <c r="F57" s="202"/>
    </row>
    <row r="58" spans="1:6" ht="14.25" customHeight="1">
      <c r="A58" s="2"/>
      <c r="B58" s="268" t="s">
        <v>218</v>
      </c>
      <c r="C58" s="308"/>
      <c r="D58" s="308"/>
      <c r="E58" s="308"/>
      <c r="F58" s="309"/>
    </row>
    <row r="59" spans="1:6" ht="14.25" customHeight="1">
      <c r="A59" s="2"/>
      <c r="B59" s="120">
        <v>0.15</v>
      </c>
      <c r="C59" s="133" t="s">
        <v>219</v>
      </c>
      <c r="D59" s="75" t="s">
        <v>220</v>
      </c>
      <c r="E59" s="134" t="s">
        <v>221</v>
      </c>
      <c r="F59" s="384" t="s">
        <v>222</v>
      </c>
    </row>
    <row r="60" spans="1:6" ht="14.25" customHeight="1">
      <c r="A60" s="2"/>
      <c r="B60" s="266"/>
      <c r="C60" s="312"/>
      <c r="D60" s="312"/>
      <c r="E60" s="312"/>
      <c r="F60" s="80"/>
    </row>
    <row r="71" spans="2:2" ht="14.25" customHeight="1">
      <c r="B71" s="135" t="s">
        <v>7</v>
      </c>
    </row>
  </sheetData>
  <mergeCells count="25">
    <mergeCell ref="A1:E1"/>
    <mergeCell ref="A3:C3"/>
    <mergeCell ref="A4:C4"/>
    <mergeCell ref="A6:A12"/>
    <mergeCell ref="B6:F6"/>
    <mergeCell ref="B10:E10"/>
    <mergeCell ref="B11:F11"/>
    <mergeCell ref="B13:G13"/>
    <mergeCell ref="B14:F14"/>
    <mergeCell ref="B16:F16"/>
    <mergeCell ref="B17:F17"/>
    <mergeCell ref="B20:F20"/>
    <mergeCell ref="B21:E21"/>
    <mergeCell ref="B25:F25"/>
    <mergeCell ref="B47:E47"/>
    <mergeCell ref="B57:E57"/>
    <mergeCell ref="B58:F58"/>
    <mergeCell ref="B60:E60"/>
    <mergeCell ref="B26:F26"/>
    <mergeCell ref="B27:F27"/>
    <mergeCell ref="B31:F31"/>
    <mergeCell ref="B35:F35"/>
    <mergeCell ref="B40:F40"/>
    <mergeCell ref="B41:F41"/>
    <mergeCell ref="B42:F42"/>
  </mergeCells>
  <hyperlinks>
    <hyperlink ref="F23" r:id="rId1" xr:uid="{00000000-0004-0000-0300-000002000000}"/>
    <hyperlink ref="F28" r:id="rId2" xr:uid="{00000000-0004-0000-0300-000003000000}"/>
    <hyperlink ref="F32" r:id="rId3" location=":~:text=People%20convicted%20of%20a%20felony,an%20average%20of%2016%20percent" xr:uid="{00000000-0004-0000-0300-000004000000}"/>
    <hyperlink ref="F33" r:id="rId4" xr:uid="{00000000-0004-0000-0300-000005000000}"/>
    <hyperlink ref="F36" r:id="rId5" xr:uid="{00000000-0004-0000-0300-000006000000}"/>
    <hyperlink ref="F44" r:id="rId6" xr:uid="{00000000-0004-0000-0300-000007000000}"/>
    <hyperlink ref="F48" r:id="rId7" xr:uid="{00000000-0004-0000-0300-000008000000}"/>
    <hyperlink ref="E49" r:id="rId8" xr:uid="{00000000-0004-0000-0300-000009000000}"/>
    <hyperlink ref="F49" r:id="rId9" xr:uid="{00000000-0004-0000-0300-00000A000000}"/>
    <hyperlink ref="F50" r:id="rId10" xr:uid="{00000000-0004-0000-0300-00000B000000}"/>
    <hyperlink ref="F52" r:id="rId11" location=":~:text=People%20convicted%20of%20a%20felony,an%20average%20of%2016%20percent" xr:uid="{00000000-0004-0000-0300-00000C000000}"/>
    <hyperlink ref="F53" r:id="rId12" xr:uid="{00000000-0004-0000-0300-00000D000000}"/>
    <hyperlink ref="F59" r:id="rId13" xr:uid="{00000000-0004-0000-0300-00000E000000}"/>
    <hyperlink ref="F22" r:id="rId14" xr:uid="{2FC5E38E-1EEE-41B3-88D5-DC2F876BC5EB}"/>
  </hyperlinks>
  <pageMargins left="0.7" right="0.7" top="0.75" bottom="0.75" header="0" footer="0"/>
  <pageSetup orientation="landscape" r:id="rId15"/>
  <drawing r:id="rId1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0"/>
  <sheetViews>
    <sheetView topLeftCell="A46" workbookViewId="0">
      <selection activeCell="C79" sqref="C79:D79"/>
    </sheetView>
  </sheetViews>
  <sheetFormatPr defaultColWidth="14.42578125" defaultRowHeight="15" customHeight="1"/>
  <cols>
    <col min="1" max="1" width="78.5703125" customWidth="1"/>
    <col min="2" max="2" width="17.28515625" customWidth="1"/>
    <col min="3" max="3" width="41.5703125" customWidth="1"/>
    <col min="4" max="4" width="42" customWidth="1"/>
    <col min="5" max="26" width="9.140625" customWidth="1"/>
  </cols>
  <sheetData>
    <row r="1" spans="1:4" ht="24" customHeight="1">
      <c r="A1" s="136" t="s">
        <v>223</v>
      </c>
      <c r="B1" s="137"/>
      <c r="C1" s="138"/>
      <c r="D1" s="139"/>
    </row>
    <row r="2" spans="1:4" ht="18.75" customHeight="1">
      <c r="A2" s="140" t="s">
        <v>224</v>
      </c>
      <c r="B2" s="385" t="s">
        <v>126</v>
      </c>
      <c r="C2" s="141" t="s">
        <v>225</v>
      </c>
      <c r="D2" s="141" t="s">
        <v>21</v>
      </c>
    </row>
    <row r="3" spans="1:4" ht="29.25" customHeight="1">
      <c r="A3" s="386" t="s">
        <v>7</v>
      </c>
      <c r="B3" s="286"/>
      <c r="C3" s="286"/>
      <c r="D3" s="290"/>
    </row>
    <row r="4" spans="1:4" ht="14.25" customHeight="1">
      <c r="A4" s="356" t="s">
        <v>226</v>
      </c>
      <c r="B4" s="286"/>
      <c r="C4" s="286"/>
      <c r="D4" s="290"/>
    </row>
    <row r="5" spans="1:4" ht="14.25" customHeight="1">
      <c r="A5" s="142" t="s">
        <v>227</v>
      </c>
      <c r="B5" s="143">
        <f>'HP, RP, Community Inputs'!B15</f>
        <v>2</v>
      </c>
      <c r="C5" s="114" t="s">
        <v>228</v>
      </c>
      <c r="D5" s="144"/>
    </row>
    <row r="6" spans="1:4" ht="14.25" customHeight="1">
      <c r="A6" s="280"/>
      <c r="B6" s="308"/>
      <c r="C6" s="308"/>
      <c r="D6" s="309"/>
    </row>
    <row r="7" spans="1:4" ht="14.25" customHeight="1">
      <c r="A7" s="387" t="s">
        <v>229</v>
      </c>
      <c r="B7" s="308"/>
      <c r="C7" s="308"/>
      <c r="D7" s="309"/>
    </row>
    <row r="8" spans="1:4" ht="14.25" customHeight="1">
      <c r="A8" s="75" t="s">
        <v>145</v>
      </c>
      <c r="B8" s="145">
        <f>'HP, RP, Community Inputs'!B18</f>
        <v>1500</v>
      </c>
      <c r="C8" s="114" t="s">
        <v>7</v>
      </c>
      <c r="D8" s="146" t="s">
        <v>230</v>
      </c>
    </row>
    <row r="9" spans="1:4" ht="14.25" customHeight="1">
      <c r="A9" s="242" t="s">
        <v>231</v>
      </c>
      <c r="B9" s="239">
        <f>'HP, RP, Community Inputs'!B19</f>
        <v>0.23</v>
      </c>
      <c r="C9" s="164"/>
      <c r="D9" s="164"/>
    </row>
    <row r="10" spans="1:4" ht="14.25" customHeight="1">
      <c r="A10" s="147" t="s">
        <v>232</v>
      </c>
      <c r="B10" s="148">
        <f>B5*B8*B9</f>
        <v>690</v>
      </c>
      <c r="C10" s="149" t="s">
        <v>233</v>
      </c>
      <c r="D10" s="149"/>
    </row>
    <row r="11" spans="1:4" ht="14.25" customHeight="1">
      <c r="A11" s="388"/>
      <c r="B11" s="286"/>
      <c r="C11" s="286"/>
      <c r="D11" s="290"/>
    </row>
    <row r="12" spans="1:4" ht="14.25" customHeight="1">
      <c r="A12" s="363" t="s">
        <v>152</v>
      </c>
      <c r="B12" s="286"/>
      <c r="C12" s="286"/>
      <c r="D12" s="290"/>
    </row>
    <row r="13" spans="1:4" ht="14.25" customHeight="1">
      <c r="A13" s="150" t="s">
        <v>153</v>
      </c>
      <c r="B13" s="151">
        <f>'HP, RP, Community Inputs'!B22</f>
        <v>250</v>
      </c>
      <c r="C13" s="152"/>
      <c r="D13" s="152"/>
    </row>
    <row r="14" spans="1:4" ht="14.25" customHeight="1">
      <c r="A14" s="389" t="s">
        <v>157</v>
      </c>
      <c r="B14" s="151">
        <f>'HP, RP, Community Inputs'!B23</f>
        <v>5000</v>
      </c>
      <c r="C14" s="152"/>
      <c r="D14" s="152"/>
    </row>
    <row r="15" spans="1:4" ht="14.25" customHeight="1">
      <c r="A15" s="389" t="s">
        <v>161</v>
      </c>
      <c r="B15" s="153">
        <f>'HP, RP, Community Inputs'!B24</f>
        <v>0.8</v>
      </c>
      <c r="C15" s="152"/>
      <c r="D15" s="152"/>
    </row>
    <row r="16" spans="1:4" ht="14.25" customHeight="1">
      <c r="A16" s="390" t="s">
        <v>234</v>
      </c>
      <c r="B16" s="391">
        <f>B5*((B13+B14)*B15)</f>
        <v>8400</v>
      </c>
      <c r="C16" s="392" t="s">
        <v>235</v>
      </c>
      <c r="D16" s="393"/>
    </row>
    <row r="17" spans="1:4" ht="14.25" customHeight="1">
      <c r="A17" s="388"/>
      <c r="B17" s="286"/>
      <c r="C17" s="286"/>
      <c r="D17" s="290"/>
    </row>
    <row r="18" spans="1:4" ht="14.25" customHeight="1">
      <c r="A18" s="154" t="s">
        <v>226</v>
      </c>
      <c r="B18" s="155">
        <f>B10+B16</f>
        <v>9090</v>
      </c>
      <c r="C18" s="281" t="s">
        <v>236</v>
      </c>
      <c r="D18" s="274"/>
    </row>
    <row r="19" spans="1:4" ht="32.25" customHeight="1">
      <c r="A19" s="394"/>
      <c r="B19" s="286"/>
      <c r="C19" s="286"/>
      <c r="D19" s="290"/>
    </row>
    <row r="20" spans="1:4" ht="14.25" customHeight="1">
      <c r="A20" s="395" t="s">
        <v>237</v>
      </c>
      <c r="B20" s="286"/>
      <c r="C20" s="286"/>
      <c r="D20" s="290"/>
    </row>
    <row r="21" spans="1:4" ht="15.75" customHeight="1">
      <c r="A21" s="368" t="s">
        <v>166</v>
      </c>
      <c r="B21" s="292"/>
      <c r="C21" s="292"/>
      <c r="D21" s="293"/>
    </row>
    <row r="22" spans="1:4" ht="14.25" customHeight="1">
      <c r="A22" s="103" t="s">
        <v>214</v>
      </c>
      <c r="B22" s="156">
        <f>'HP, RP, Community Inputs'!B28</f>
        <v>8840</v>
      </c>
      <c r="C22" s="114"/>
      <c r="D22" s="114"/>
    </row>
    <row r="23" spans="1:4" ht="14.25" customHeight="1">
      <c r="A23" s="150" t="s">
        <v>238</v>
      </c>
      <c r="B23" s="157">
        <f>'HP, RP, Community Inputs'!B29</f>
        <v>0.1</v>
      </c>
      <c r="C23" s="114"/>
      <c r="D23" s="114"/>
    </row>
    <row r="24" spans="1:4" ht="14.25" customHeight="1">
      <c r="A24" s="231" t="s">
        <v>166</v>
      </c>
      <c r="B24" s="183">
        <f>B22*B23</f>
        <v>884</v>
      </c>
      <c r="C24" s="232" t="s">
        <v>239</v>
      </c>
      <c r="D24" s="158"/>
    </row>
    <row r="25" spans="1:4" ht="14.25" customHeight="1">
      <c r="A25" s="396"/>
      <c r="B25" s="286"/>
      <c r="C25" s="286"/>
      <c r="D25" s="290"/>
    </row>
    <row r="26" spans="1:4" ht="14.25" customHeight="1">
      <c r="A26" s="363" t="s">
        <v>240</v>
      </c>
      <c r="B26" s="286"/>
      <c r="C26" s="286"/>
      <c r="D26" s="286"/>
    </row>
    <row r="27" spans="1:4" ht="14.25" customHeight="1">
      <c r="A27" s="150" t="s">
        <v>175</v>
      </c>
      <c r="B27" s="159">
        <f>'HP, RP, Community Inputs'!B32</f>
        <v>3016</v>
      </c>
      <c r="C27" s="114"/>
      <c r="D27" s="114"/>
    </row>
    <row r="28" spans="1:4" ht="14.25" customHeight="1">
      <c r="A28" s="92" t="s">
        <v>241</v>
      </c>
      <c r="B28" s="160">
        <f>'HP, RP, Community Inputs'!B33</f>
        <v>0.8</v>
      </c>
      <c r="C28" s="114"/>
      <c r="D28" s="114"/>
    </row>
    <row r="29" spans="1:4" ht="14.25" customHeight="1">
      <c r="A29" s="397" t="s">
        <v>240</v>
      </c>
      <c r="B29" s="398">
        <f>B27*B28</f>
        <v>2412.8000000000002</v>
      </c>
      <c r="C29" s="399" t="s">
        <v>242</v>
      </c>
      <c r="D29" s="400"/>
    </row>
    <row r="30" spans="1:4" ht="14.25" customHeight="1">
      <c r="A30" s="2"/>
      <c r="B30" s="262"/>
      <c r="C30" s="84"/>
      <c r="D30" s="84"/>
    </row>
    <row r="31" spans="1:4" ht="14.25" customHeight="1">
      <c r="A31" s="363" t="s">
        <v>243</v>
      </c>
      <c r="B31" s="286"/>
      <c r="C31" s="286"/>
      <c r="D31" s="290"/>
    </row>
    <row r="32" spans="1:4" ht="14.25" customHeight="1">
      <c r="A32" s="124" t="s">
        <v>244</v>
      </c>
      <c r="B32" s="161">
        <f>'HP, RP, Community Inputs'!B36</f>
        <v>15080</v>
      </c>
      <c r="C32" s="162"/>
      <c r="D32" s="162"/>
    </row>
    <row r="33" spans="1:4" ht="14.25" customHeight="1">
      <c r="A33" s="212" t="s">
        <v>187</v>
      </c>
      <c r="B33" s="225">
        <f>'HP, RP, Community Inputs'!B37</f>
        <v>0.25</v>
      </c>
      <c r="C33" s="162"/>
      <c r="D33" s="162"/>
    </row>
    <row r="34" spans="1:4" ht="14.25" customHeight="1">
      <c r="A34" s="212" t="s">
        <v>189</v>
      </c>
      <c r="B34" s="225">
        <f>'HP, RP, Community Inputs'!B38</f>
        <v>0.65</v>
      </c>
      <c r="C34" s="162"/>
      <c r="D34" s="162"/>
    </row>
    <row r="35" spans="1:4" ht="14.25" customHeight="1">
      <c r="A35" s="212" t="s">
        <v>190</v>
      </c>
      <c r="B35" s="163">
        <f>'HP, RP, Community Inputs'!B39</f>
        <v>1</v>
      </c>
      <c r="C35" s="114"/>
      <c r="D35" s="114"/>
    </row>
    <row r="36" spans="1:4" ht="14.25" customHeight="1">
      <c r="A36" s="233" t="s">
        <v>245</v>
      </c>
      <c r="B36" s="234">
        <f>B32*B33</f>
        <v>3770</v>
      </c>
      <c r="C36" s="235" t="s">
        <v>246</v>
      </c>
      <c r="D36" s="226"/>
    </row>
    <row r="37" spans="1:4" ht="14.25" customHeight="1">
      <c r="A37" s="233" t="s">
        <v>247</v>
      </c>
      <c r="B37" s="234">
        <f>B32*B34</f>
        <v>9802</v>
      </c>
      <c r="C37" s="235" t="s">
        <v>246</v>
      </c>
      <c r="D37" s="226"/>
    </row>
    <row r="38" spans="1:4" ht="14.25" customHeight="1">
      <c r="A38" s="233" t="s">
        <v>248</v>
      </c>
      <c r="B38" s="236">
        <f>B32*B35</f>
        <v>15080</v>
      </c>
      <c r="C38" s="235" t="s">
        <v>246</v>
      </c>
      <c r="D38" s="227"/>
    </row>
    <row r="39" spans="1:4" ht="14.25" customHeight="1">
      <c r="A39" s="277"/>
      <c r="B39" s="292"/>
      <c r="C39" s="292"/>
      <c r="D39" s="293"/>
    </row>
    <row r="40" spans="1:4" ht="14.25" customHeight="1">
      <c r="A40" s="229" t="s">
        <v>249</v>
      </c>
      <c r="B40" s="230">
        <f>B36+B29+B24</f>
        <v>7066.8</v>
      </c>
      <c r="C40" s="271" t="s">
        <v>236</v>
      </c>
      <c r="D40" s="383"/>
    </row>
    <row r="41" spans="1:4" ht="14.25" customHeight="1">
      <c r="A41" s="229" t="s">
        <v>250</v>
      </c>
      <c r="B41" s="230">
        <f>B37+B29+B24</f>
        <v>13098.8</v>
      </c>
      <c r="C41" s="271" t="s">
        <v>236</v>
      </c>
      <c r="D41" s="383"/>
    </row>
    <row r="42" spans="1:4" ht="14.25" customHeight="1">
      <c r="A42" s="229" t="s">
        <v>251</v>
      </c>
      <c r="B42" s="228">
        <f>B24+B29+B38</f>
        <v>18376.8</v>
      </c>
      <c r="C42" s="271" t="s">
        <v>236</v>
      </c>
      <c r="D42" s="383"/>
    </row>
    <row r="43" spans="1:4" ht="32.25" customHeight="1">
      <c r="A43" s="272"/>
      <c r="B43" s="286"/>
      <c r="C43" s="308"/>
      <c r="D43" s="309"/>
    </row>
    <row r="44" spans="1:4" ht="14.25" customHeight="1">
      <c r="A44" s="356" t="s">
        <v>252</v>
      </c>
      <c r="B44" s="286"/>
      <c r="C44" s="286"/>
      <c r="D44" s="290"/>
    </row>
    <row r="45" spans="1:4" ht="14.25" customHeight="1">
      <c r="A45" s="368" t="s">
        <v>192</v>
      </c>
      <c r="B45" s="292"/>
      <c r="C45" s="292"/>
      <c r="D45" s="293"/>
    </row>
    <row r="46" spans="1:4" ht="14.25" customHeight="1">
      <c r="A46" s="75" t="s">
        <v>193</v>
      </c>
      <c r="B46" s="6">
        <f>'HP, RP, Community Inputs'!B43</f>
        <v>40</v>
      </c>
      <c r="C46" s="114"/>
      <c r="D46" s="114"/>
    </row>
    <row r="47" spans="1:4" ht="14.25" customHeight="1">
      <c r="A47" s="75" t="s">
        <v>197</v>
      </c>
      <c r="B47" s="165">
        <f>'HP, RP, Community Inputs'!B44</f>
        <v>15</v>
      </c>
      <c r="C47" s="114"/>
      <c r="D47" s="114"/>
    </row>
    <row r="48" spans="1:4" ht="14.25" customHeight="1">
      <c r="A48" s="92" t="s">
        <v>253</v>
      </c>
      <c r="B48" s="160">
        <f>'HP, RP, Community Inputs'!B45</f>
        <v>0.15</v>
      </c>
      <c r="C48" s="114"/>
      <c r="D48" s="114"/>
    </row>
    <row r="49" spans="1:4" ht="15" customHeight="1">
      <c r="A49" s="397" t="s">
        <v>254</v>
      </c>
      <c r="B49" s="401">
        <f>B46*B47*B48</f>
        <v>90</v>
      </c>
      <c r="C49" s="402" t="s">
        <v>255</v>
      </c>
      <c r="D49" s="402"/>
    </row>
    <row r="50" spans="1:4" ht="15" customHeight="1">
      <c r="A50" s="403"/>
      <c r="B50" s="286"/>
      <c r="C50" s="286"/>
      <c r="D50" s="286"/>
    </row>
    <row r="51" spans="1:4" ht="14.25" customHeight="1">
      <c r="A51" s="291" t="s">
        <v>256</v>
      </c>
      <c r="B51" s="292"/>
      <c r="C51" s="292"/>
      <c r="D51" s="293"/>
    </row>
    <row r="52" spans="1:4" ht="14.25" customHeight="1">
      <c r="A52" s="150" t="s">
        <v>257</v>
      </c>
      <c r="B52" s="165">
        <f>'HP, RP, Community Inputs'!B50</f>
        <v>8840</v>
      </c>
      <c r="C52" s="114"/>
      <c r="D52" s="237"/>
    </row>
    <row r="53" spans="1:4" ht="14.25" customHeight="1">
      <c r="A53" s="150" t="s">
        <v>258</v>
      </c>
      <c r="B53" s="160">
        <f>'HP, RP, Community Inputs'!B51</f>
        <v>0.1</v>
      </c>
      <c r="C53" s="114"/>
      <c r="D53" s="237"/>
    </row>
    <row r="54" spans="1:4" ht="14.25" customHeight="1">
      <c r="A54" s="150" t="s">
        <v>175</v>
      </c>
      <c r="B54" s="165">
        <f>'HP, RP, Community Inputs'!B52</f>
        <v>3016</v>
      </c>
      <c r="C54" s="114"/>
      <c r="D54" s="237"/>
    </row>
    <row r="55" spans="1:4" ht="14.25" customHeight="1">
      <c r="A55" s="92" t="s">
        <v>179</v>
      </c>
      <c r="B55" s="160">
        <f>'HP, RP, Community Inputs'!B53</f>
        <v>0.8</v>
      </c>
      <c r="C55" s="114"/>
      <c r="D55" s="237"/>
    </row>
    <row r="56" spans="1:4" ht="14.25" customHeight="1">
      <c r="A56" s="91" t="s">
        <v>259</v>
      </c>
      <c r="B56" s="165">
        <f>'HP, RP, Community Inputs'!B48</f>
        <v>15080</v>
      </c>
      <c r="C56" s="114"/>
      <c r="D56" s="237"/>
    </row>
    <row r="57" spans="1:4" ht="14.25" customHeight="1">
      <c r="A57" s="212" t="s">
        <v>187</v>
      </c>
      <c r="B57" s="160">
        <f>'HP, RP, Community Inputs'!B37</f>
        <v>0.25</v>
      </c>
      <c r="C57" s="114"/>
      <c r="D57" s="237"/>
    </row>
    <row r="58" spans="1:4" ht="14.25" customHeight="1">
      <c r="A58" s="212" t="s">
        <v>189</v>
      </c>
      <c r="B58" s="239">
        <f>'HP, RP, Community Inputs'!B38</f>
        <v>0.65</v>
      </c>
      <c r="C58" s="114"/>
      <c r="D58" s="237"/>
    </row>
    <row r="59" spans="1:4" ht="14.25" customHeight="1">
      <c r="A59" s="218" t="s">
        <v>190</v>
      </c>
      <c r="B59" s="215">
        <f>'HP, RP, Community Inputs'!B39</f>
        <v>1</v>
      </c>
      <c r="C59" s="237"/>
      <c r="D59" s="237"/>
    </row>
    <row r="60" spans="1:4" ht="14.25" customHeight="1">
      <c r="A60" s="91" t="s">
        <v>209</v>
      </c>
      <c r="B60" s="166">
        <f>'HP, RP, Community Inputs'!B49</f>
        <v>0.16750000000000001</v>
      </c>
      <c r="C60" s="237"/>
      <c r="D60" s="237"/>
    </row>
    <row r="61" spans="1:4" ht="14.25" customHeight="1">
      <c r="A61" s="238" t="s">
        <v>260</v>
      </c>
      <c r="B61" s="240">
        <f>((B52*B53)+(B54*B55)+(B56*B57))*B60</f>
        <v>1183.6890000000001</v>
      </c>
      <c r="C61" s="295" t="s">
        <v>261</v>
      </c>
      <c r="D61" s="290"/>
    </row>
    <row r="62" spans="1:4" ht="14.25" customHeight="1">
      <c r="A62" s="238" t="s">
        <v>262</v>
      </c>
      <c r="B62" s="240">
        <f>((B52*B53)+(B54*B55)+(B56*B58))*B60</f>
        <v>2194.049</v>
      </c>
      <c r="C62" s="295" t="s">
        <v>263</v>
      </c>
      <c r="D62" s="290"/>
    </row>
    <row r="63" spans="1:4" ht="48.6" customHeight="1">
      <c r="A63" s="404" t="s">
        <v>264</v>
      </c>
      <c r="B63" s="405">
        <f>((B52*B53)+(B54*B55)+(B56*B59))*B60</f>
        <v>3078.114</v>
      </c>
      <c r="C63" s="295" t="s">
        <v>265</v>
      </c>
      <c r="D63" s="290"/>
    </row>
    <row r="64" spans="1:4" ht="14.25" customHeight="1">
      <c r="A64" s="278" t="s">
        <v>7</v>
      </c>
      <c r="B64" s="292"/>
      <c r="C64" s="292"/>
      <c r="D64" s="292"/>
    </row>
    <row r="65" spans="1:4" ht="14.25" customHeight="1">
      <c r="A65" s="406" t="s">
        <v>266</v>
      </c>
      <c r="B65" s="292"/>
      <c r="C65" s="292"/>
      <c r="D65" s="293"/>
    </row>
    <row r="66" spans="1:4" ht="14.25" customHeight="1">
      <c r="A66" s="407" t="s">
        <v>267</v>
      </c>
      <c r="B66" s="160">
        <f>'HP, RP, Community Inputs'!B59</f>
        <v>0.15</v>
      </c>
      <c r="C66" s="114"/>
      <c r="D66" s="114"/>
    </row>
    <row r="67" spans="1:4" ht="14.25" customHeight="1">
      <c r="A67" s="75" t="s">
        <v>268</v>
      </c>
      <c r="B67" s="245">
        <f>'HP, RP, Community Inputs'!B7</f>
        <v>19860</v>
      </c>
      <c r="C67" s="164"/>
      <c r="D67" s="164"/>
    </row>
    <row r="68" spans="1:4" ht="14.25" customHeight="1">
      <c r="A68" s="75" t="s">
        <v>269</v>
      </c>
      <c r="B68" s="145">
        <f>'HP, RP, Community Inputs'!B8</f>
        <v>37716</v>
      </c>
      <c r="C68" s="241"/>
      <c r="D68" s="241"/>
    </row>
    <row r="69" spans="1:4" ht="14.25" customHeight="1">
      <c r="A69" s="242" t="s">
        <v>270</v>
      </c>
      <c r="B69" s="244">
        <f>'HP, RP, Community Inputs'!B9</f>
        <v>53466</v>
      </c>
      <c r="C69" s="241"/>
      <c r="D69" s="241"/>
    </row>
    <row r="70" spans="1:4" ht="14.25" customHeight="1">
      <c r="A70" s="248" t="s">
        <v>271</v>
      </c>
      <c r="B70" s="247">
        <f>B66*B67</f>
        <v>2979</v>
      </c>
      <c r="C70" s="269" t="s">
        <v>272</v>
      </c>
      <c r="D70" s="383"/>
    </row>
    <row r="71" spans="1:4" ht="14.25" customHeight="1">
      <c r="A71" s="243" t="s">
        <v>273</v>
      </c>
      <c r="B71" s="247">
        <f>B68*B66</f>
        <v>5657.4</v>
      </c>
      <c r="C71" s="269" t="s">
        <v>274</v>
      </c>
      <c r="D71" s="383"/>
    </row>
    <row r="72" spans="1:4" ht="14.25" customHeight="1">
      <c r="A72" s="243" t="s">
        <v>275</v>
      </c>
      <c r="B72" s="246">
        <f>B69*B66</f>
        <v>8019.9</v>
      </c>
      <c r="C72" s="269" t="s">
        <v>276</v>
      </c>
      <c r="D72" s="383"/>
    </row>
    <row r="73" spans="1:4" ht="14.25" customHeight="1">
      <c r="A73" s="408"/>
      <c r="B73" s="292"/>
      <c r="C73" s="308"/>
      <c r="D73" s="309"/>
    </row>
    <row r="74" spans="1:4" ht="14.25" customHeight="1">
      <c r="A74" s="167" t="s">
        <v>277</v>
      </c>
      <c r="B74" s="249">
        <f>B70+B61+B49</f>
        <v>4252.6890000000003</v>
      </c>
      <c r="C74" s="273" t="s">
        <v>236</v>
      </c>
      <c r="D74" s="274"/>
    </row>
    <row r="75" spans="1:4" ht="14.25" customHeight="1">
      <c r="A75" s="167" t="s">
        <v>278</v>
      </c>
      <c r="B75" s="249">
        <f>B71+B62+B49</f>
        <v>7941.4489999999996</v>
      </c>
      <c r="C75" s="273" t="s">
        <v>236</v>
      </c>
      <c r="D75" s="274"/>
    </row>
    <row r="76" spans="1:4" ht="14.25" customHeight="1">
      <c r="A76" s="250" t="s">
        <v>279</v>
      </c>
      <c r="B76" s="251">
        <f>B49+B63+B72</f>
        <v>11188.013999999999</v>
      </c>
      <c r="C76" s="275" t="s">
        <v>236</v>
      </c>
      <c r="D76" s="276"/>
    </row>
    <row r="77" spans="1:4" ht="27" customHeight="1">
      <c r="A77" s="270"/>
      <c r="B77" s="383"/>
      <c r="C77" s="383"/>
      <c r="D77" s="383"/>
    </row>
    <row r="78" spans="1:4" ht="15" customHeight="1">
      <c r="A78" s="252" t="s">
        <v>280</v>
      </c>
      <c r="B78" s="253">
        <f>B18+B40+B74</f>
        <v>20409.489000000001</v>
      </c>
      <c r="C78" s="409" t="s">
        <v>281</v>
      </c>
      <c r="D78" s="279"/>
    </row>
    <row r="79" spans="1:4" ht="15" customHeight="1">
      <c r="A79" s="252" t="s">
        <v>282</v>
      </c>
      <c r="B79" s="253">
        <f>B18+B41+B75</f>
        <v>30130.249</v>
      </c>
      <c r="C79" s="409" t="s">
        <v>281</v>
      </c>
      <c r="D79" s="279"/>
    </row>
    <row r="80" spans="1:4" ht="15" customHeight="1">
      <c r="A80" s="252" t="s">
        <v>283</v>
      </c>
      <c r="B80" s="253">
        <f>B18+B42+B76</f>
        <v>38654.813999999998</v>
      </c>
      <c r="C80" s="409" t="s">
        <v>281</v>
      </c>
      <c r="D80" s="279"/>
    </row>
  </sheetData>
  <mergeCells count="39">
    <mergeCell ref="C78:D78"/>
    <mergeCell ref="C79:D79"/>
    <mergeCell ref="C80:D80"/>
    <mergeCell ref="A3:D3"/>
    <mergeCell ref="A4:D4"/>
    <mergeCell ref="A6:D6"/>
    <mergeCell ref="A7:D7"/>
    <mergeCell ref="A11:D11"/>
    <mergeCell ref="A12:D12"/>
    <mergeCell ref="A17:D17"/>
    <mergeCell ref="A19:D19"/>
    <mergeCell ref="A20:D20"/>
    <mergeCell ref="A21:D21"/>
    <mergeCell ref="C18:D18"/>
    <mergeCell ref="A25:D25"/>
    <mergeCell ref="A26:D26"/>
    <mergeCell ref="A31:D31"/>
    <mergeCell ref="A39:D39"/>
    <mergeCell ref="A64:D64"/>
    <mergeCell ref="C40:D40"/>
    <mergeCell ref="C41:D41"/>
    <mergeCell ref="C62:D62"/>
    <mergeCell ref="C63:D63"/>
    <mergeCell ref="A65:D65"/>
    <mergeCell ref="C72:D72"/>
    <mergeCell ref="A73:D73"/>
    <mergeCell ref="A77:D77"/>
    <mergeCell ref="C42:D42"/>
    <mergeCell ref="A43:D43"/>
    <mergeCell ref="A44:D44"/>
    <mergeCell ref="A45:D45"/>
    <mergeCell ref="A50:D50"/>
    <mergeCell ref="A51:D51"/>
    <mergeCell ref="C61:D61"/>
    <mergeCell ref="C70:D70"/>
    <mergeCell ref="C71:D71"/>
    <mergeCell ref="C74:D74"/>
    <mergeCell ref="C75:D75"/>
    <mergeCell ref="C76:D76"/>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4"/>
  <sheetViews>
    <sheetView tabSelected="1" workbookViewId="0">
      <selection activeCell="B21" sqref="B21"/>
    </sheetView>
  </sheetViews>
  <sheetFormatPr defaultColWidth="14.42578125" defaultRowHeight="15" customHeight="1"/>
  <cols>
    <col min="1" max="1" width="48.7109375" customWidth="1"/>
    <col min="2" max="2" width="22.42578125" customWidth="1"/>
    <col min="3" max="3" width="69.5703125" customWidth="1"/>
    <col min="4" max="26" width="9.140625" customWidth="1"/>
  </cols>
  <sheetData>
    <row r="1" spans="1:3" ht="33" customHeight="1">
      <c r="A1" s="410" t="s">
        <v>284</v>
      </c>
      <c r="B1" s="290"/>
      <c r="C1" s="168" t="s">
        <v>285</v>
      </c>
    </row>
    <row r="2" spans="1:3" ht="37.5" customHeight="1">
      <c r="A2" s="411" t="s">
        <v>286</v>
      </c>
      <c r="B2" s="351"/>
      <c r="C2" s="84"/>
    </row>
    <row r="3" spans="1:3" ht="51.75" customHeight="1">
      <c r="A3" s="296" t="s">
        <v>287</v>
      </c>
      <c r="B3" s="290"/>
      <c r="C3" s="84"/>
    </row>
    <row r="4" spans="1:3" ht="25.5" customHeight="1">
      <c r="A4" s="296" t="s">
        <v>288</v>
      </c>
      <c r="B4" s="290"/>
      <c r="C4" s="84"/>
    </row>
    <row r="5" spans="1:3" ht="33.6" customHeight="1">
      <c r="A5" s="412" t="s">
        <v>289</v>
      </c>
      <c r="B5" s="309"/>
      <c r="C5" s="413"/>
    </row>
    <row r="6" spans="1:3" ht="33" customHeight="1">
      <c r="A6" s="414" t="s">
        <v>290</v>
      </c>
      <c r="B6" s="290"/>
      <c r="C6" s="415"/>
    </row>
    <row r="7" spans="1:3" ht="33" customHeight="1">
      <c r="A7" s="416">
        <f t="shared" ref="A7:A9" si="0">B35</f>
        <v>6.1412718257557231</v>
      </c>
      <c r="B7" s="417" t="s">
        <v>33</v>
      </c>
      <c r="C7" s="415"/>
    </row>
    <row r="8" spans="1:3" ht="30" customHeight="1">
      <c r="A8" s="169">
        <f t="shared" si="0"/>
        <v>11.031652710241923</v>
      </c>
      <c r="B8" s="170" t="s">
        <v>291</v>
      </c>
      <c r="C8" s="415"/>
    </row>
    <row r="9" spans="1:3" ht="30.6" customHeight="1">
      <c r="A9" s="169">
        <f t="shared" si="0"/>
        <v>15.336432120702682</v>
      </c>
      <c r="B9" s="170" t="s">
        <v>35</v>
      </c>
      <c r="C9" s="415"/>
    </row>
    <row r="10" spans="1:3" ht="14.25" customHeight="1">
      <c r="A10" s="282"/>
      <c r="B10" s="418"/>
      <c r="C10" s="418"/>
    </row>
    <row r="11" spans="1:3" ht="32.25" customHeight="1">
      <c r="A11" s="171" t="s">
        <v>292</v>
      </c>
      <c r="B11" s="172"/>
      <c r="C11" s="173"/>
    </row>
    <row r="12" spans="1:3" ht="14.25" customHeight="1">
      <c r="A12" s="174" t="s">
        <v>293</v>
      </c>
      <c r="B12" s="175" t="s">
        <v>126</v>
      </c>
      <c r="C12" s="176" t="s">
        <v>21</v>
      </c>
    </row>
    <row r="13" spans="1:3" ht="14.25" customHeight="1">
      <c r="A13" s="75" t="s">
        <v>294</v>
      </c>
      <c r="B13" s="177">
        <f>'HP, RP, Community Inputs'!B7</f>
        <v>19860</v>
      </c>
      <c r="C13" s="178" t="s">
        <v>295</v>
      </c>
    </row>
    <row r="14" spans="1:3" ht="14.25" customHeight="1">
      <c r="A14" s="75" t="s">
        <v>296</v>
      </c>
      <c r="B14" s="177">
        <f>'HP, RP, Community Inputs'!B8</f>
        <v>37716</v>
      </c>
      <c r="C14" s="178" t="s">
        <v>295</v>
      </c>
    </row>
    <row r="15" spans="1:3" ht="14.25" customHeight="1">
      <c r="A15" s="75" t="s">
        <v>297</v>
      </c>
      <c r="B15" s="177">
        <f>'HP, RP, Community Inputs'!B9</f>
        <v>53466</v>
      </c>
      <c r="C15" s="178" t="s">
        <v>295</v>
      </c>
    </row>
    <row r="16" spans="1:3" ht="14.25" customHeight="1">
      <c r="A16" s="419"/>
      <c r="B16" s="420"/>
      <c r="C16" s="421"/>
    </row>
    <row r="17" spans="1:4" ht="14.25" customHeight="1">
      <c r="A17" s="179" t="s">
        <v>298</v>
      </c>
      <c r="B17" s="180">
        <f>'HP, RP, Community Inputs'!B12</f>
        <v>5638.98</v>
      </c>
      <c r="C17" s="178" t="s">
        <v>299</v>
      </c>
      <c r="D17" s="263"/>
    </row>
    <row r="18" spans="1:4" ht="14.25" customHeight="1">
      <c r="A18" s="283"/>
      <c r="B18" s="422"/>
      <c r="C18" s="423"/>
      <c r="D18" s="263"/>
    </row>
    <row r="19" spans="1:4" ht="14.25" customHeight="1">
      <c r="A19" s="424" t="s">
        <v>300</v>
      </c>
      <c r="B19" s="292"/>
      <c r="C19" s="293"/>
      <c r="D19" s="263"/>
    </row>
    <row r="20" spans="1:4" ht="14.25" customHeight="1">
      <c r="A20" s="76" t="s">
        <v>301</v>
      </c>
      <c r="B20" s="256">
        <f>B13-B17</f>
        <v>14221.02</v>
      </c>
      <c r="C20" s="184" t="s">
        <v>302</v>
      </c>
      <c r="D20" s="263"/>
    </row>
    <row r="21" spans="1:4" ht="14.25" customHeight="1">
      <c r="A21" s="76" t="s">
        <v>303</v>
      </c>
      <c r="B21" s="257">
        <f>B14-B17</f>
        <v>32077.02</v>
      </c>
      <c r="C21" s="184" t="s">
        <v>302</v>
      </c>
      <c r="D21" s="263"/>
    </row>
    <row r="22" spans="1:4" ht="14.25" customHeight="1">
      <c r="A22" s="185" t="s">
        <v>304</v>
      </c>
      <c r="B22" s="258">
        <f>B15-B17</f>
        <v>47827.020000000004</v>
      </c>
      <c r="C22" s="184" t="s">
        <v>302</v>
      </c>
      <c r="D22" s="263"/>
    </row>
    <row r="23" spans="1:4" ht="20.45" customHeight="1">
      <c r="A23" s="284"/>
      <c r="B23" s="284"/>
      <c r="C23" s="284"/>
      <c r="D23" s="263"/>
    </row>
    <row r="24" spans="1:4" ht="31.5" customHeight="1">
      <c r="A24" s="264" t="s">
        <v>305</v>
      </c>
      <c r="B24" s="254">
        <f>'Cost and Benefit Calculations'!B78</f>
        <v>20409.489000000001</v>
      </c>
      <c r="C24" s="255" t="s">
        <v>306</v>
      </c>
      <c r="D24" s="263"/>
    </row>
    <row r="25" spans="1:4" ht="33" customHeight="1">
      <c r="A25" s="265" t="s">
        <v>307</v>
      </c>
      <c r="B25" s="181">
        <f>'Cost and Benefit Calculations'!B79</f>
        <v>30130.249</v>
      </c>
      <c r="C25" s="178" t="s">
        <v>306</v>
      </c>
      <c r="D25" s="425" t="s">
        <v>7</v>
      </c>
    </row>
    <row r="26" spans="1:4" ht="31.5" customHeight="1">
      <c r="A26" s="265" t="s">
        <v>308</v>
      </c>
      <c r="B26" s="181">
        <f>'Cost and Benefit Calculations'!B80</f>
        <v>38654.813999999998</v>
      </c>
      <c r="C26" s="178" t="s">
        <v>306</v>
      </c>
      <c r="D26" s="263"/>
    </row>
    <row r="27" spans="1:4" ht="14.25" customHeight="1">
      <c r="A27" s="182"/>
      <c r="B27" s="183" t="s">
        <v>7</v>
      </c>
      <c r="C27" s="149"/>
      <c r="D27" s="263"/>
    </row>
    <row r="28" spans="1:4" ht="14.25" customHeight="1">
      <c r="A28" s="426"/>
      <c r="B28" s="292"/>
      <c r="C28" s="293"/>
      <c r="D28" s="263"/>
    </row>
    <row r="29" spans="1:4" ht="14.25" customHeight="1">
      <c r="A29" s="424" t="s">
        <v>309</v>
      </c>
      <c r="B29" s="292"/>
      <c r="C29" s="293"/>
      <c r="D29" s="263"/>
    </row>
    <row r="30" spans="1:4" ht="62.1" customHeight="1">
      <c r="A30" s="111" t="s">
        <v>310</v>
      </c>
      <c r="B30" s="258">
        <f>B20+B24</f>
        <v>34630.509000000005</v>
      </c>
      <c r="C30" s="111" t="s">
        <v>311</v>
      </c>
      <c r="D30" s="263"/>
    </row>
    <row r="31" spans="1:4" ht="58.5" customHeight="1">
      <c r="A31" s="111" t="s">
        <v>312</v>
      </c>
      <c r="B31" s="258">
        <f>B21+B25</f>
        <v>62207.269</v>
      </c>
      <c r="C31" s="111" t="s">
        <v>311</v>
      </c>
      <c r="D31" s="263"/>
    </row>
    <row r="32" spans="1:4" ht="58.5" customHeight="1">
      <c r="A32" s="111" t="s">
        <v>313</v>
      </c>
      <c r="B32" s="258">
        <f>B22+B26</f>
        <v>86481.834000000003</v>
      </c>
      <c r="C32" s="111" t="s">
        <v>311</v>
      </c>
      <c r="D32" s="263"/>
    </row>
    <row r="33" spans="1:3" ht="18.75" customHeight="1">
      <c r="A33" s="427"/>
      <c r="B33" s="286"/>
      <c r="C33" s="290"/>
    </row>
    <row r="34" spans="1:3" ht="21" customHeight="1">
      <c r="A34" s="424" t="s">
        <v>314</v>
      </c>
      <c r="B34" s="292"/>
      <c r="C34" s="293"/>
    </row>
    <row r="35" spans="1:3" ht="34.5" customHeight="1">
      <c r="A35" s="75" t="s">
        <v>315</v>
      </c>
      <c r="B35" s="259">
        <f>B30/B17</f>
        <v>6.1412718257557231</v>
      </c>
      <c r="C35" s="186" t="s">
        <v>316</v>
      </c>
    </row>
    <row r="36" spans="1:3" ht="32.25" customHeight="1">
      <c r="A36" s="75" t="s">
        <v>317</v>
      </c>
      <c r="B36" s="260">
        <f>B31/B17</f>
        <v>11.031652710241923</v>
      </c>
      <c r="C36" s="186" t="s">
        <v>316</v>
      </c>
    </row>
    <row r="37" spans="1:3" ht="33.75" customHeight="1">
      <c r="A37" s="75" t="s">
        <v>318</v>
      </c>
      <c r="B37" s="259">
        <f>B32/B17</f>
        <v>15.336432120702682</v>
      </c>
      <c r="C37" s="186" t="s">
        <v>316</v>
      </c>
    </row>
    <row r="38" spans="1:3" ht="14.25" customHeight="1">
      <c r="A38" s="2"/>
      <c r="B38" s="2"/>
      <c r="C38" s="84"/>
    </row>
    <row r="39" spans="1:3" ht="18.75" customHeight="1">
      <c r="A39" s="428" t="s">
        <v>319</v>
      </c>
      <c r="B39" s="292"/>
      <c r="C39" s="293"/>
    </row>
    <row r="40" spans="1:3" ht="14.25" customHeight="1">
      <c r="A40" s="75" t="s">
        <v>320</v>
      </c>
      <c r="B40" s="259">
        <f>B21/B17</f>
        <v>5.6884436547035104</v>
      </c>
      <c r="C40" s="186" t="s">
        <v>321</v>
      </c>
    </row>
    <row r="41" spans="1:3" ht="14.25" customHeight="1">
      <c r="A41" s="75" t="s">
        <v>322</v>
      </c>
      <c r="B41" s="259">
        <f>'Cost and Benefit Calculations'!B18/'Impact ROI'!B17</f>
        <v>1.611993658427588</v>
      </c>
      <c r="C41" s="186" t="s">
        <v>323</v>
      </c>
    </row>
    <row r="42" spans="1:3" ht="14.25" customHeight="1">
      <c r="A42" s="75" t="s">
        <v>324</v>
      </c>
      <c r="B42" s="259">
        <f>'Cost and Benefit Calculations'!B41/'Impact ROI'!B17</f>
        <v>2.3229023688681285</v>
      </c>
      <c r="C42" s="186" t="s">
        <v>325</v>
      </c>
    </row>
    <row r="43" spans="1:3" ht="14.25" customHeight="1">
      <c r="A43" s="75" t="s">
        <v>326</v>
      </c>
      <c r="B43" s="259">
        <f>'Cost and Benefit Calculations'!B75/'Impact ROI'!B17</f>
        <v>1.4083130282426963</v>
      </c>
      <c r="C43" s="186" t="s">
        <v>327</v>
      </c>
    </row>
    <row r="44" spans="1:3" ht="15" customHeight="1">
      <c r="A44" s="263"/>
      <c r="B44" s="429" t="s">
        <v>7</v>
      </c>
      <c r="C44" s="263"/>
    </row>
  </sheetData>
  <sheetProtection algorithmName="SHA-512" hashValue="AKm+rvw5dst3LDmoPMECzJu4mZqT2t3pkY5MRpVRkl4eyYSHTxvR6aLPxlKPknlJils0R3pVqPRl0lx7gI5Ghg==" saltValue="rl9UQQJkg0tlGt9HPFLO3w==" spinCount="100000" sheet="1" objects="1" scenarios="1"/>
  <mergeCells count="17">
    <mergeCell ref="A1:B1"/>
    <mergeCell ref="A2:B2"/>
    <mergeCell ref="A3:B3"/>
    <mergeCell ref="A4:B4"/>
    <mergeCell ref="A5:B5"/>
    <mergeCell ref="C5:C9"/>
    <mergeCell ref="A6:B6"/>
    <mergeCell ref="A33:C33"/>
    <mergeCell ref="A34:C34"/>
    <mergeCell ref="A39:C39"/>
    <mergeCell ref="A10:C10"/>
    <mergeCell ref="A16:C16"/>
    <mergeCell ref="A18:C18"/>
    <mergeCell ref="A28:C28"/>
    <mergeCell ref="A19:C19"/>
    <mergeCell ref="A29:C29"/>
    <mergeCell ref="A23:C23"/>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0CF4853D47A743B42FADCAD098061C" ma:contentTypeVersion="24" ma:contentTypeDescription="Create a new document." ma:contentTypeScope="" ma:versionID="d2e229f0e7735d9ae25e196b0efcdf3f">
  <xsd:schema xmlns:xsd="http://www.w3.org/2001/XMLSchema" xmlns:xs="http://www.w3.org/2001/XMLSchema" xmlns:p="http://schemas.microsoft.com/office/2006/metadata/properties" xmlns:ns1="http://schemas.microsoft.com/sharepoint/v3" xmlns:ns2="1f095183-cfe6-43c5-9555-4419ebff6b97" xmlns:ns3="d02bd821-b3c8-426b-895f-c3e877c5b55b" targetNamespace="http://schemas.microsoft.com/office/2006/metadata/properties" ma:root="true" ma:fieldsID="e915cd0851c861de6834e6e96b1af41b" ns1:_="" ns2:_="" ns3:_="">
    <xsd:import namespace="http://schemas.microsoft.com/sharepoint/v3"/>
    <xsd:import namespace="1f095183-cfe6-43c5-9555-4419ebff6b97"/>
    <xsd:import namespace="d02bd821-b3c8-426b-895f-c3e877c5b55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3:SharedWithUsers" minOccurs="0"/>
                <xsd:element ref="ns3:SharedWithDetails" minOccurs="0"/>
                <xsd:element ref="ns1:_ip_UnifiedCompliancePolicyProperties" minOccurs="0"/>
                <xsd:element ref="ns1:_ip_UnifiedCompliancePolicyUIAc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095183-cfe6-43c5-9555-4419ebff6b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9eb18d0-8512-43c1-978b-efa5dabb071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2bd821-b3c8-426b-895f-c3e877c5b55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a7088ef-c49f-4248-9492-b99a50ae8312}" ma:internalName="TaxCatchAll" ma:showField="CatchAllData" ma:web="d02bd821-b3c8-426b-895f-c3e877c5b5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f095183-cfe6-43c5-9555-4419ebff6b97">
      <Terms xmlns="http://schemas.microsoft.com/office/infopath/2007/PartnerControls"/>
    </lcf76f155ced4ddcb4097134ff3c332f>
    <TaxCatchAll xmlns="d02bd821-b3c8-426b-895f-c3e877c5b55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158E92-A347-4AB3-8F9F-EF13552CB28A}"/>
</file>

<file path=customXml/itemProps2.xml><?xml version="1.0" encoding="utf-8"?>
<ds:datastoreItem xmlns:ds="http://schemas.openxmlformats.org/officeDocument/2006/customXml" ds:itemID="{F7CB2800-C600-4247-AF61-049E77466A12}"/>
</file>

<file path=customXml/itemProps3.xml><?xml version="1.0" encoding="utf-8"?>
<ds:datastoreItem xmlns:ds="http://schemas.openxmlformats.org/officeDocument/2006/customXml" ds:itemID="{AA3332D8-EC4A-47E1-8AE1-F7831A8272A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TL Hill</dc:creator>
  <cp:keywords/>
  <dc:description/>
  <cp:lastModifiedBy/>
  <cp:revision/>
  <dcterms:created xsi:type="dcterms:W3CDTF">2025-03-17T16:48:54Z</dcterms:created>
  <dcterms:modified xsi:type="dcterms:W3CDTF">2026-01-30T21:37:18Z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0x010100DA0CF4853D47A743B42FADCAD098061C</vt:lpwstr>
  </property>
</Properties>
</file>